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GNNETS OFFICE" sheetId="1" r:id="rId1"/>
  </sheets>
  <definedNames>
    <definedName name="_xlnm._FilterDatabase" localSheetId="0" hidden="1">'GNNETS OFFICE'!$E$2:$T$952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<sst xmlns="http://schemas.openxmlformats.org/spreadsheetml/2006/main" count="725" uniqueCount="546">
  <si>
    <t>OFFICE STAFF</t>
  </si>
  <si>
    <t>No</t>
  </si>
  <si>
    <t>Last Name</t>
  </si>
  <si>
    <t>First Name</t>
  </si>
  <si>
    <t>Middle Name</t>
  </si>
  <si>
    <t>Suffix</t>
  </si>
  <si>
    <t>Gender</t>
  </si>
  <si>
    <t>Civil Status</t>
  </si>
  <si>
    <t>Birthdate</t>
  </si>
  <si>
    <t>Contact No#</t>
  </si>
  <si>
    <t>Present Address</t>
  </si>
  <si>
    <t>Job Title</t>
  </si>
  <si>
    <t>Job Status</t>
  </si>
  <si>
    <t>Hired Date</t>
  </si>
  <si>
    <t>Regularization</t>
  </si>
  <si>
    <t>Resigned Date</t>
  </si>
  <si>
    <t>SSS No#</t>
  </si>
  <si>
    <t>HDMF No#</t>
  </si>
  <si>
    <t>PhilHealth No#</t>
  </si>
  <si>
    <t>TIN No#</t>
  </si>
  <si>
    <t>Referred By</t>
  </si>
  <si>
    <t>ADORDIONISIO</t>
  </si>
  <si>
    <t>FLORDELIZA</t>
  </si>
  <si>
    <t>ROXAS</t>
  </si>
  <si>
    <t>FEMALE</t>
  </si>
  <si>
    <t>64 DON VICENTE, BAGONG SILANGAN QUEZON CITY</t>
  </si>
  <si>
    <t>ACCOUNTING STAFF</t>
  </si>
  <si>
    <t>PROBITIONARY</t>
  </si>
  <si>
    <t>December 9, 2025</t>
  </si>
  <si>
    <t>34-0054452-9</t>
  </si>
  <si>
    <t>01-025542937-5</t>
  </si>
  <si>
    <t>457-172-524-000</t>
  </si>
  <si>
    <t>AGLUGOB</t>
  </si>
  <si>
    <t>JAY-JAY</t>
  </si>
  <si>
    <t>NAIDAS</t>
  </si>
  <si>
    <t>MALE</t>
  </si>
  <si>
    <t>SINGLE</t>
  </si>
  <si>
    <t>September 14, 2000</t>
  </si>
  <si>
    <t>0928-742-0564</t>
  </si>
  <si>
    <t>BARAOIDAN GATTARAN, CAGAYAN</t>
  </si>
  <si>
    <t>ENGINEER</t>
  </si>
  <si>
    <t>REGULAR</t>
  </si>
  <si>
    <t>July 09, 2024</t>
  </si>
  <si>
    <t>January 27, 2025</t>
  </si>
  <si>
    <t>01-3299021-1</t>
  </si>
  <si>
    <t>1213-4549-9094</t>
  </si>
  <si>
    <t>06-250185267-3</t>
  </si>
  <si>
    <t>AMIL</t>
  </si>
  <si>
    <t>ANTHONY</t>
  </si>
  <si>
    <t>DABUCOL</t>
  </si>
  <si>
    <t>0997-882-3200</t>
  </si>
  <si>
    <t>HUMANITY VILL. BRGY. BAGONG SILANGAN, Q.C</t>
  </si>
  <si>
    <t>MESSENGER</t>
  </si>
  <si>
    <t>February 18, 2014</t>
  </si>
  <si>
    <t>33-6583850-3</t>
  </si>
  <si>
    <t>1211-3632-6029</t>
  </si>
  <si>
    <t>19-090060988-8</t>
  </si>
  <si>
    <t>214-213-623-000</t>
  </si>
  <si>
    <t>WALK IN</t>
  </si>
  <si>
    <t>AMIN</t>
  </si>
  <si>
    <t>JONHLENNON</t>
  </si>
  <si>
    <t>QUINONES</t>
  </si>
  <si>
    <t>May 7, 1984</t>
  </si>
  <si>
    <t>0917-434-2121</t>
  </si>
  <si>
    <t># 141 ST. PUROK 5 NAPINDAN TAGUIG CITY</t>
  </si>
  <si>
    <t>PROMOTED SUPERVISOR</t>
  </si>
  <si>
    <t>PROMOTED</t>
  </si>
  <si>
    <t>May 06, 2016</t>
  </si>
  <si>
    <t>May 02, 2025 (visor)</t>
  </si>
  <si>
    <t>33-9932444-9</t>
  </si>
  <si>
    <t>1210-2461-1282</t>
  </si>
  <si>
    <t>02-050725449-8</t>
  </si>
  <si>
    <t>258-899-640-000</t>
  </si>
  <si>
    <t>ILO-ILO PROJECT</t>
  </si>
  <si>
    <t>ANGELIO</t>
  </si>
  <si>
    <t>PRINCESS CLEAR</t>
  </si>
  <si>
    <t>CAPILLO</t>
  </si>
  <si>
    <t>February 13, 2004</t>
  </si>
  <si>
    <t>Sitio Ruhat 4-A Brgy. Mambugan 1870, Antipolo City</t>
  </si>
  <si>
    <t>PROJECT COORDINATOR</t>
  </si>
  <si>
    <t>PROBATIONARY</t>
  </si>
  <si>
    <t>January 05, 2025</t>
  </si>
  <si>
    <t>35-3761863-2</t>
  </si>
  <si>
    <t>NO PAG-IBIG</t>
  </si>
  <si>
    <t>NO PHILHEALTH</t>
  </si>
  <si>
    <t>622-788-935-000</t>
  </si>
  <si>
    <t>ARQUINTILLO</t>
  </si>
  <si>
    <t>JINALYN</t>
  </si>
  <si>
    <t>PENE</t>
  </si>
  <si>
    <t>January 13, 2002</t>
  </si>
  <si>
    <t>ALLEY 1 JP RIZAL STREET BRGY. BAGONG SILANGAN QUEZON CITY</t>
  </si>
  <si>
    <t>HR ASSISTANT/ENCODER</t>
  </si>
  <si>
    <t>July 31, 2025</t>
  </si>
  <si>
    <t>January 5, 2026</t>
  </si>
  <si>
    <t>35-3971778-0</t>
  </si>
  <si>
    <t>03-251025244-5</t>
  </si>
  <si>
    <t>AVENIDO</t>
  </si>
  <si>
    <t>RIVO</t>
  </si>
  <si>
    <t>VALENCIA</t>
  </si>
  <si>
    <t>MARRIED</t>
  </si>
  <si>
    <t>0917-875-1165</t>
  </si>
  <si>
    <t>BLK 11 LOT 4 BISTEKVILLE 1 PAYATAS QUEZON CITY 1119</t>
  </si>
  <si>
    <t>SALES &amp; MARKETING HEAD</t>
  </si>
  <si>
    <t>February 15, 2019</t>
  </si>
  <si>
    <t>August 15, 2019</t>
  </si>
  <si>
    <t>33-6046943-0</t>
  </si>
  <si>
    <t>1210-7139-9226</t>
  </si>
  <si>
    <t>03-050388941-9</t>
  </si>
  <si>
    <t>227-618-888-000</t>
  </si>
  <si>
    <t>BAYACA</t>
  </si>
  <si>
    <t>ROLDAN</t>
  </si>
  <si>
    <t>JACINTO</t>
  </si>
  <si>
    <t>0916-956-6838</t>
  </si>
  <si>
    <t>GATTRAN, CAGAYAN</t>
  </si>
  <si>
    <t>LEADMAN 3</t>
  </si>
  <si>
    <t>CONTRACTUAL</t>
  </si>
  <si>
    <t>February 01, 2016</t>
  </si>
  <si>
    <t>October 7, 2023</t>
  </si>
  <si>
    <t>34-2676666-6</t>
  </si>
  <si>
    <t>1211-2874-9505</t>
  </si>
  <si>
    <t>03-050916357-6</t>
  </si>
  <si>
    <t>327-586-774-000</t>
  </si>
  <si>
    <t>RODELINE</t>
  </si>
  <si>
    <t>PENEYRA</t>
  </si>
  <si>
    <t>0916-186-2161</t>
  </si>
  <si>
    <t>BASAO, GATTARAN, CAGAYAN</t>
  </si>
  <si>
    <t>SITE SUPERVISOR</t>
  </si>
  <si>
    <t>March 01, 2014</t>
  </si>
  <si>
    <t>September 1, 2024</t>
  </si>
  <si>
    <t>34-3193824-3</t>
  </si>
  <si>
    <t>1211-1011-3953</t>
  </si>
  <si>
    <t>02-051030173-1</t>
  </si>
  <si>
    <t>501-579-241-000</t>
  </si>
  <si>
    <t>BERNALES</t>
  </si>
  <si>
    <t>JAMILA</t>
  </si>
  <si>
    <t>0992-362-7696</t>
  </si>
  <si>
    <t>AREA 4 EXTENSION PANTER STREET BRGY. BAGONG SILANGAN QC</t>
  </si>
  <si>
    <t>RECEPTIONIST</t>
  </si>
  <si>
    <t>March 4, 2026</t>
  </si>
  <si>
    <t>CALYAO</t>
  </si>
  <si>
    <t>ANDRADE</t>
  </si>
  <si>
    <t>ORTIGA</t>
  </si>
  <si>
    <t>0930-103-7124</t>
  </si>
  <si>
    <t>SITIO TAGUISAN BAGONG NAYON ANTIPOLO CITY</t>
  </si>
  <si>
    <t>SAFETY OFFICER</t>
  </si>
  <si>
    <t>June 14, 2022</t>
  </si>
  <si>
    <t>December 14, 2022</t>
  </si>
  <si>
    <t>33-4440036-3</t>
  </si>
  <si>
    <t>1211-0220-4797</t>
  </si>
  <si>
    <t>01-051745751-0</t>
  </si>
  <si>
    <t>315-412-545-000</t>
  </si>
  <si>
    <t>INDEED</t>
  </si>
  <si>
    <t>CAÑEDO</t>
  </si>
  <si>
    <t>MICHAEL</t>
  </si>
  <si>
    <t>GUPITA</t>
  </si>
  <si>
    <t>September 04, 1995</t>
  </si>
  <si>
    <t>0908-374-3367</t>
  </si>
  <si>
    <t>BLK. 6 L112 LABAHITA ST. CALOOCAN CITY</t>
  </si>
  <si>
    <t>MAINTENANCE</t>
  </si>
  <si>
    <t>REULAR</t>
  </si>
  <si>
    <t>February 19, 2018</t>
  </si>
  <si>
    <t>October 16, 2024</t>
  </si>
  <si>
    <t>34-5275166-1</t>
  </si>
  <si>
    <t>1211-4946-5520</t>
  </si>
  <si>
    <t>02-051186369-5</t>
  </si>
  <si>
    <t>708-629-331-000</t>
  </si>
  <si>
    <t>CAPILI</t>
  </si>
  <si>
    <t>VAN MICJALE</t>
  </si>
  <si>
    <t>GARCIA</t>
  </si>
  <si>
    <t>February 10, 2002</t>
  </si>
  <si>
    <t>#697 ROXAS ST MAYON EXT SAN GABRIEL VILLAGE TUGUEGARAO CITY CAGAYAN</t>
  </si>
  <si>
    <t>MAIN OFFICE</t>
  </si>
  <si>
    <t>September 2, 2025</t>
  </si>
  <si>
    <t>01-3464739-7</t>
  </si>
  <si>
    <t>06-02503177442</t>
  </si>
  <si>
    <t>CATANGAY</t>
  </si>
  <si>
    <t>MAURO</t>
  </si>
  <si>
    <t>JABINES</t>
  </si>
  <si>
    <t>September 3, 1990</t>
  </si>
  <si>
    <t>Road 5, Area C, Brgy. Bagong Silangan Quezon City</t>
  </si>
  <si>
    <t>WAREHOUSE ASSISTANT</t>
  </si>
  <si>
    <t>September 26, 2025</t>
  </si>
  <si>
    <t>34-2115265-6</t>
  </si>
  <si>
    <t>03-0253486046</t>
  </si>
  <si>
    <t>CONCISO</t>
  </si>
  <si>
    <t>ERICSON</t>
  </si>
  <si>
    <t>DOMINGO</t>
  </si>
  <si>
    <t>0923-952-7051/ 0926-384-6993</t>
  </si>
  <si>
    <t>BRAVO ST. ZONE 5 SIGNAL VILL. TAGUIG CITY</t>
  </si>
  <si>
    <t>QUALITY CONTROL SUP.</t>
  </si>
  <si>
    <t>November 01, 2013</t>
  </si>
  <si>
    <t>May 1, 2014</t>
  </si>
  <si>
    <t>33-4078349-5</t>
  </si>
  <si>
    <t>1210-2515-2538</t>
  </si>
  <si>
    <t>02-050739127-4</t>
  </si>
  <si>
    <t>455-958-459-000</t>
  </si>
  <si>
    <t>ERWIN</t>
  </si>
  <si>
    <t>0920-241-2165</t>
  </si>
  <si>
    <t>September 01, 2008</t>
  </si>
  <si>
    <t>March 1, 2009</t>
  </si>
  <si>
    <t>34-1424256-1</t>
  </si>
  <si>
    <t>1211-1220-5895</t>
  </si>
  <si>
    <t>02-050507530-8</t>
  </si>
  <si>
    <t>418-616-848-000</t>
  </si>
  <si>
    <t>DE GUZMAN</t>
  </si>
  <si>
    <t>CHRISTIAN</t>
  </si>
  <si>
    <t>CALACSAN</t>
  </si>
  <si>
    <t>June 16, 2001</t>
  </si>
  <si>
    <t>ZONE 3 NAGATUTUAN GATTARAN CAGAYAN</t>
  </si>
  <si>
    <t>July 14, 2025</t>
  </si>
  <si>
    <t>01-3253721-8</t>
  </si>
  <si>
    <t>1213-4107-9617</t>
  </si>
  <si>
    <t>06-250182204-9</t>
  </si>
  <si>
    <t>361-135-632-000</t>
  </si>
  <si>
    <t>DIAZ</t>
  </si>
  <si>
    <t>REYMART</t>
  </si>
  <si>
    <t>OCOL</t>
  </si>
  <si>
    <t>February 18, 2000</t>
  </si>
  <si>
    <t>0926-921-0741</t>
  </si>
  <si>
    <t>GULAYON ALICIA ZAMBOANGA SIBUGAY</t>
  </si>
  <si>
    <t>ELECTRICIAN 1</t>
  </si>
  <si>
    <t>PROJECT BASED</t>
  </si>
  <si>
    <t>October 27, 2023</t>
  </si>
  <si>
    <t>March 11, 2024</t>
  </si>
  <si>
    <t>10-1453925-2</t>
  </si>
  <si>
    <t>1213-2774-5259</t>
  </si>
  <si>
    <t>14-251457568-0</t>
  </si>
  <si>
    <t>DINGGO</t>
  </si>
  <si>
    <t>REX</t>
  </si>
  <si>
    <t>SABLING</t>
  </si>
  <si>
    <t>103D, PUROK 1, NORTH SANITARY CAMP NORTH BAGUIO CITY BENGUET</t>
  </si>
  <si>
    <t>CAD OPERATOR</t>
  </si>
  <si>
    <t>January 29,2026</t>
  </si>
  <si>
    <t>DOMINGAY</t>
  </si>
  <si>
    <t>JHUNDEL</t>
  </si>
  <si>
    <t>ESPINOSA</t>
  </si>
  <si>
    <t>December 30, 2000</t>
  </si>
  <si>
    <t>0995-339-3468</t>
  </si>
  <si>
    <t>AGUIGUICAN, GATTARAN, CAGAYAN</t>
  </si>
  <si>
    <t>CIVIL ENGINEER</t>
  </si>
  <si>
    <t>February 15, 2025</t>
  </si>
  <si>
    <t>01-2913647-1</t>
  </si>
  <si>
    <t>1212-5085-1795</t>
  </si>
  <si>
    <t>06-251987077-6</t>
  </si>
  <si>
    <t>TUGUE w/ BOSS</t>
  </si>
  <si>
    <t>JENNY ANN</t>
  </si>
  <si>
    <t>February 2, 1997</t>
  </si>
  <si>
    <t>ROAD 4, BAGONG SILANGAN QUEZON CITY</t>
  </si>
  <si>
    <t>PURCHASING STAFF</t>
  </si>
  <si>
    <t>September 17, 2025</t>
  </si>
  <si>
    <t>34-5228677-0</t>
  </si>
  <si>
    <t>1211-4714-5212</t>
  </si>
  <si>
    <t>03-251043255-9</t>
  </si>
  <si>
    <t xml:space="preserve">ERRO </t>
  </si>
  <si>
    <t>ANDIE</t>
  </si>
  <si>
    <t>NATIVIDAD</t>
  </si>
  <si>
    <t>September 10,2000</t>
  </si>
  <si>
    <t>BRGY 5, JULO STREET, CORON PALAWAN</t>
  </si>
  <si>
    <t>SITE CIVIL ENGINEER</t>
  </si>
  <si>
    <t>JULY 28, 2025</t>
  </si>
  <si>
    <t>35-3589200-7</t>
  </si>
  <si>
    <t>1213-5554-7340</t>
  </si>
  <si>
    <t>06-025432516-6</t>
  </si>
  <si>
    <t>ESPALDON</t>
  </si>
  <si>
    <t>ALBERTO</t>
  </si>
  <si>
    <t>GACOSTA</t>
  </si>
  <si>
    <t>0970-337-8018</t>
  </si>
  <si>
    <t>BLK 11 LOT 2 PINE ST. GREENLEAF CLASSIC 2 BRGY. KAYPIAN CITY OF SJDM BULACAN</t>
  </si>
  <si>
    <t>PROJECT SUPERVISOR</t>
  </si>
  <si>
    <t>JUNE 19, 2024</t>
  </si>
  <si>
    <t>03-9981822-0</t>
  </si>
  <si>
    <t>1210-3259-3685</t>
  </si>
  <si>
    <t>LACKING</t>
  </si>
  <si>
    <t>107-444-733-000</t>
  </si>
  <si>
    <t>FRONDA</t>
  </si>
  <si>
    <t>JASMINE LYKA</t>
  </si>
  <si>
    <t>RABE</t>
  </si>
  <si>
    <t>CAGGAY, TUGUEGARAO CITY, CAGAYAN</t>
  </si>
  <si>
    <t>SITE ENGINEER</t>
  </si>
  <si>
    <t>March 13, 2024</t>
  </si>
  <si>
    <t>01-3213376-4</t>
  </si>
  <si>
    <t>1213-3843-3387</t>
  </si>
  <si>
    <t>01-252039914-1</t>
  </si>
  <si>
    <t>GARCIANO</t>
  </si>
  <si>
    <t>DONATO JR</t>
  </si>
  <si>
    <t>MARENTES</t>
  </si>
  <si>
    <t>0936-801-7064</t>
  </si>
  <si>
    <t>GOODWILL HOMES I BRGY. SAN BARTOLOME</t>
  </si>
  <si>
    <t>DESIGN/QS SUPERVISOR</t>
  </si>
  <si>
    <t>June 10, 2014</t>
  </si>
  <si>
    <t>06-2804878-7</t>
  </si>
  <si>
    <t>1211-2127-5868</t>
  </si>
  <si>
    <t>13-050082971-1</t>
  </si>
  <si>
    <t>288-149-086-000</t>
  </si>
  <si>
    <t>GUNDAN</t>
  </si>
  <si>
    <t>EMEROSE</t>
  </si>
  <si>
    <t>0910-762-1547</t>
  </si>
  <si>
    <t>188 DEL PILAR ST, BRGY. BAGONG SILANGAN Q.C</t>
  </si>
  <si>
    <t>ASSIST. PERSONNEL MANAGER</t>
  </si>
  <si>
    <t>September 02, 2013</t>
  </si>
  <si>
    <t>January 27, 2014</t>
  </si>
  <si>
    <t>34-3431373-9</t>
  </si>
  <si>
    <t>1210-5638-7728</t>
  </si>
  <si>
    <t>01-051480247-0</t>
  </si>
  <si>
    <t>312-461-993-000</t>
  </si>
  <si>
    <t>IGBA</t>
  </si>
  <si>
    <t>MARIANO</t>
  </si>
  <si>
    <t>FERRERIA</t>
  </si>
  <si>
    <t>JR</t>
  </si>
  <si>
    <t>0991-2958-580 updated</t>
  </si>
  <si>
    <t>#249 MAGDALO ST. BRGY. BUNA LEJOS INDANG CAVITE</t>
  </si>
  <si>
    <t>February 24, 2020</t>
  </si>
  <si>
    <t>August 24, 2020</t>
  </si>
  <si>
    <t>34-1567689-3</t>
  </si>
  <si>
    <t>1210-4119-4311</t>
  </si>
  <si>
    <t>08-025453155-7</t>
  </si>
  <si>
    <t>367-764-087-000</t>
  </si>
  <si>
    <t>RECMAN SIMON</t>
  </si>
  <si>
    <t>INTERNO</t>
  </si>
  <si>
    <t>SHERRA MAY</t>
  </si>
  <si>
    <t>RABACAL</t>
  </si>
  <si>
    <t>0998-586-8809</t>
  </si>
  <si>
    <t>BLK 2 LOT 11 EMERALD ST. BRILLIANT VILL. BAGONG SILANGAN</t>
  </si>
  <si>
    <t>HR STAFF</t>
  </si>
  <si>
    <t>August 09, 2024</t>
  </si>
  <si>
    <t xml:space="preserve">November 15, 2024 </t>
  </si>
  <si>
    <t>34-6566984-3</t>
  </si>
  <si>
    <t>1211-9276-2967</t>
  </si>
  <si>
    <t>02-026859262-9</t>
  </si>
  <si>
    <t>746-234-330-000</t>
  </si>
  <si>
    <t>FACEBOOK</t>
  </si>
  <si>
    <t>JIMENEZ</t>
  </si>
  <si>
    <t>J-KARR</t>
  </si>
  <si>
    <t>BALCUBA</t>
  </si>
  <si>
    <t>March 14, 1997</t>
  </si>
  <si>
    <t>0954-144-6117</t>
  </si>
  <si>
    <t>188 MH DEL PILAR ST. BAGONG SILANGAN QUEZON CITY</t>
  </si>
  <si>
    <t>EXECUTIVE SECRETARY</t>
  </si>
  <si>
    <t>JULY 29, 2024</t>
  </si>
  <si>
    <t>January 10, 2025</t>
  </si>
  <si>
    <t>34-6810162-9</t>
  </si>
  <si>
    <t>1212-0065-3939</t>
  </si>
  <si>
    <t>01-250187258-8</t>
  </si>
  <si>
    <t xml:space="preserve"> 705-612-183-000</t>
  </si>
  <si>
    <t>JOSE</t>
  </si>
  <si>
    <t>CRISTOPHER</t>
  </si>
  <si>
    <t>URCIA</t>
  </si>
  <si>
    <t>0916-907-0930</t>
  </si>
  <si>
    <t>HEAD ENGINEER</t>
  </si>
  <si>
    <t>January 26, 2018</t>
  </si>
  <si>
    <t>July 26, 2018</t>
  </si>
  <si>
    <t>01-2751652-9</t>
  </si>
  <si>
    <t>1212-1466-9000</t>
  </si>
  <si>
    <t>06-250184789-0</t>
  </si>
  <si>
    <t>458-422-393-000</t>
  </si>
  <si>
    <t>LACSAMANA III</t>
  </si>
  <si>
    <t>PABLO</t>
  </si>
  <si>
    <t>ENGRACIAL</t>
  </si>
  <si>
    <t>0927-417-6146</t>
  </si>
  <si>
    <t>BLK. 38 BATAW ST. ADDITION HILLS, MANDALUYONG CITY</t>
  </si>
  <si>
    <t>OCTOBER 11, 2024</t>
  </si>
  <si>
    <t>THROUGH GMAIL</t>
  </si>
  <si>
    <t>MARQUESES</t>
  </si>
  <si>
    <t>MARY JOY</t>
  </si>
  <si>
    <t>TUMBAGA</t>
  </si>
  <si>
    <t>0961-913-4780</t>
  </si>
  <si>
    <t>POCALARI COMPAOUND, BRGY BAGONG SILANGAN QUEZON CITY</t>
  </si>
  <si>
    <t>July 17, 2024</t>
  </si>
  <si>
    <t>January 13, 2025</t>
  </si>
  <si>
    <t>35-1060310-1</t>
  </si>
  <si>
    <t>1212-8822-7325</t>
  </si>
  <si>
    <t>03-026667670-7</t>
  </si>
  <si>
    <t>387-648-048-000</t>
  </si>
  <si>
    <t>MAYORES</t>
  </si>
  <si>
    <t>CRIZEL</t>
  </si>
  <si>
    <t>GUARTICO</t>
  </si>
  <si>
    <t>0939-838-7836</t>
  </si>
  <si>
    <t>178 DEL PILAR ST. BRGY. BAGONG SILANGAN, QC</t>
  </si>
  <si>
    <t>February 15, 2018</t>
  </si>
  <si>
    <t>August 15, 2018</t>
  </si>
  <si>
    <t>34-1096404-7</t>
  </si>
  <si>
    <t>1212-1897-5224</t>
  </si>
  <si>
    <t>03-251599154-8</t>
  </si>
  <si>
    <t>455-832-553-000</t>
  </si>
  <si>
    <t>OCAMPO</t>
  </si>
  <si>
    <t>ALONA</t>
  </si>
  <si>
    <t>TOTING</t>
  </si>
  <si>
    <t>0951-664-1539</t>
  </si>
  <si>
    <t>326 DE DIOS ST, BRGY. BAGONG SILANGAN QUEZON CITY</t>
  </si>
  <si>
    <t>SALES &amp; MARKETING STAFF</t>
  </si>
  <si>
    <t>August 27, 2024</t>
  </si>
  <si>
    <t>January  27, 2025</t>
  </si>
  <si>
    <t>02-3803269-1</t>
  </si>
  <si>
    <t>1212-2415-7650</t>
  </si>
  <si>
    <t>01-052012816-1</t>
  </si>
  <si>
    <t>475-617-330-000</t>
  </si>
  <si>
    <t>PALOMAR</t>
  </si>
  <si>
    <t>STELLA MAR</t>
  </si>
  <si>
    <t>BAGAY</t>
  </si>
  <si>
    <t>0920-389-0619</t>
  </si>
  <si>
    <t>IGCAWAYAN, SAN LORENZO GUIMARAS</t>
  </si>
  <si>
    <t>ADMIN STAFF</t>
  </si>
  <si>
    <t>November 10, 2022</t>
  </si>
  <si>
    <t>May 10, 2023</t>
  </si>
  <si>
    <t>07-2960729-2</t>
  </si>
  <si>
    <t>1211-2088-8670</t>
  </si>
  <si>
    <t>01-025634856-5</t>
  </si>
  <si>
    <t>318-078-663-000</t>
  </si>
  <si>
    <t>MADAM</t>
  </si>
  <si>
    <t>PASCUAL</t>
  </si>
  <si>
    <t>REGIE</t>
  </si>
  <si>
    <t>MADRID</t>
  </si>
  <si>
    <t>0997-468-2198</t>
  </si>
  <si>
    <t>July 01, 2009</t>
  </si>
  <si>
    <t>34-1503355-9</t>
  </si>
  <si>
    <t>1211-3674-4290</t>
  </si>
  <si>
    <t>03-050914507-1</t>
  </si>
  <si>
    <t>472-262-825-000</t>
  </si>
  <si>
    <t>PASION</t>
  </si>
  <si>
    <t>JAYNALYN</t>
  </si>
  <si>
    <t>TUMANDA</t>
  </si>
  <si>
    <t>0916-890-0583</t>
  </si>
  <si>
    <t>496 GENERAL YENCO ST. BRGY. BAGONG SILANGAN Q.C</t>
  </si>
  <si>
    <t>April 21, 2017</t>
  </si>
  <si>
    <t>October 24, 2017</t>
  </si>
  <si>
    <t>34-6674345-8</t>
  </si>
  <si>
    <t>1211-9648-7174</t>
  </si>
  <si>
    <t>03-026117440-1</t>
  </si>
  <si>
    <t>337-522-606-000</t>
  </si>
  <si>
    <t>PERCIVAL</t>
  </si>
  <si>
    <t>SUGUITAN</t>
  </si>
  <si>
    <t>0966-221-2453</t>
  </si>
  <si>
    <t>May 18, 2016</t>
  </si>
  <si>
    <t>November 30, 2016</t>
  </si>
  <si>
    <t>03-8872567-0</t>
  </si>
  <si>
    <t>1210-5405-1780</t>
  </si>
  <si>
    <t>19-050179572-4</t>
  </si>
  <si>
    <t>129-564-046-000</t>
  </si>
  <si>
    <t>PUYAOAN</t>
  </si>
  <si>
    <t>REYNALDO</t>
  </si>
  <si>
    <t>TUNGPALAN</t>
  </si>
  <si>
    <t>March 01, 2013</t>
  </si>
  <si>
    <t>September 08, 2017</t>
  </si>
  <si>
    <t>33-4700442-3</t>
  </si>
  <si>
    <t>1210-2599-6065</t>
  </si>
  <si>
    <t>03-051340028-0</t>
  </si>
  <si>
    <t>258-901-447-000</t>
  </si>
  <si>
    <t>ROSELLO</t>
  </si>
  <si>
    <t>JOSEPH HEINRICH</t>
  </si>
  <si>
    <t>RICO</t>
  </si>
  <si>
    <t>25 JP RIZAL ST. BRGY. BAGONG SILANGAN QUEZON CITY</t>
  </si>
  <si>
    <t>July 17, 2023</t>
  </si>
  <si>
    <t>January 17, 2024</t>
  </si>
  <si>
    <t>34-3251562-3</t>
  </si>
  <si>
    <t>01-250297858-4</t>
  </si>
  <si>
    <t>497-763-826-000</t>
  </si>
  <si>
    <t>JORA</t>
  </si>
  <si>
    <t>SIMON</t>
  </si>
  <si>
    <t>RITCHE</t>
  </si>
  <si>
    <t>DUMLAO</t>
  </si>
  <si>
    <t>BRGY. STO. NINO BLK 01 LOT 58 TAGUIG CITY</t>
  </si>
  <si>
    <t>OPERATIONS MANAGER</t>
  </si>
  <si>
    <t>October 01, 2007</t>
  </si>
  <si>
    <t>33-8122970-1</t>
  </si>
  <si>
    <t>1211-0600-5358</t>
  </si>
  <si>
    <t>03-050914512-8</t>
  </si>
  <si>
    <t>436-773-994-000</t>
  </si>
  <si>
    <t>SOLARIO</t>
  </si>
  <si>
    <t>LEONARDO</t>
  </si>
  <si>
    <t>ARRANCHADO</t>
  </si>
  <si>
    <t>COGON TALISAY DANBANTAYAN, CEBU CITY</t>
  </si>
  <si>
    <t>April 17, 2017</t>
  </si>
  <si>
    <t>33-4436850-2</t>
  </si>
  <si>
    <t>06-4692339-3</t>
  </si>
  <si>
    <t>19-089845826-5</t>
  </si>
  <si>
    <t>268-404-195-000</t>
  </si>
  <si>
    <t>GRETCHEN</t>
  </si>
  <si>
    <t>TALAGON</t>
  </si>
  <si>
    <t>09175531219 l 89847955</t>
  </si>
  <si>
    <t>2 LEAR ST. FILINVEST 2, QUEZON CITY</t>
  </si>
  <si>
    <t>TREASURER</t>
  </si>
  <si>
    <t>October 01, 2017</t>
  </si>
  <si>
    <t>33-5823518-4</t>
  </si>
  <si>
    <t>1210-6338-6228</t>
  </si>
  <si>
    <t>19-090544101-2</t>
  </si>
  <si>
    <t>NIXON</t>
  </si>
  <si>
    <t>2 LEAR CORNER DONA JULIANA ST. FILINVEST HOMS 2 SUBD. BSQC</t>
  </si>
  <si>
    <t>PRESIDENT</t>
  </si>
  <si>
    <t>33-5950642-7</t>
  </si>
  <si>
    <t>1211-1223-9207</t>
  </si>
  <si>
    <t>19-051224408-8</t>
  </si>
  <si>
    <t>TAGLE</t>
  </si>
  <si>
    <t>KAYE</t>
  </si>
  <si>
    <t>OCHIA</t>
  </si>
  <si>
    <t>PUROK 2 POCALARI CMPD., BRGY. BAGONG SILANGAN Q.C.</t>
  </si>
  <si>
    <t>February 07, 2019</t>
  </si>
  <si>
    <t>August 07, 2019</t>
  </si>
  <si>
    <t>34-4261573-3</t>
  </si>
  <si>
    <t>1211-1776-2319</t>
  </si>
  <si>
    <t>03-025512726-4</t>
  </si>
  <si>
    <t>452-119-069-000</t>
  </si>
  <si>
    <t>TEPURA</t>
  </si>
  <si>
    <t>HARRY</t>
  </si>
  <si>
    <t>OSORIO</t>
  </si>
  <si>
    <t>January 06, 1999</t>
  </si>
  <si>
    <t>KABASALAN, ZAMBOAGA SIBUGAY</t>
  </si>
  <si>
    <t>October 28, 2023</t>
  </si>
  <si>
    <t>June 13, 2023</t>
  </si>
  <si>
    <t>10-1428857-4</t>
  </si>
  <si>
    <t>1213-1525-4424</t>
  </si>
  <si>
    <t>14-250596686-3</t>
  </si>
  <si>
    <t>611-095-111-000</t>
  </si>
  <si>
    <t>JOHN MARK ERAS</t>
  </si>
  <si>
    <t>TUBIERA</t>
  </si>
  <si>
    <t>CESAR</t>
  </si>
  <si>
    <t>CORPUZ</t>
  </si>
  <si>
    <t>NAMNAMA, CABATUAN ISABELA</t>
  </si>
  <si>
    <t>ELECTRICAL ENGINEER</t>
  </si>
  <si>
    <t>Novemeber 29, 2022</t>
  </si>
  <si>
    <t>May 29, 2023</t>
  </si>
  <si>
    <t>01-3070064-9</t>
  </si>
  <si>
    <t>1213-1121-4582</t>
  </si>
  <si>
    <t>06-250557261-6</t>
  </si>
  <si>
    <t>617-838-088-000</t>
  </si>
  <si>
    <t>BOSS</t>
  </si>
  <si>
    <t>TUDAYAN</t>
  </si>
  <si>
    <t>ANGELICA PAULA</t>
  </si>
  <si>
    <t>YAMAT</t>
  </si>
  <si>
    <t>BLK 5 LOT 1 HUMANITY VILLAGE BRGY. BAGONG SILANGAN Q.C</t>
  </si>
  <si>
    <t>November 10, 2020</t>
  </si>
  <si>
    <t>July 01, 2021</t>
  </si>
  <si>
    <t>34-2118571-8</t>
  </si>
  <si>
    <t>1211-5634-8999</t>
  </si>
  <si>
    <t>03-050639602-2</t>
  </si>
  <si>
    <t>406-205-393-000</t>
  </si>
  <si>
    <t>WALK-IN</t>
  </si>
  <si>
    <t>TURINGAN</t>
  </si>
  <si>
    <t>MARY ANN</t>
  </si>
  <si>
    <t>ANDAL</t>
  </si>
  <si>
    <t>ROAD 3 SITIO KUMUNOY BAGONG SILANGAN QUEZON CITY</t>
  </si>
  <si>
    <t>WAREHOUSE STAFF</t>
  </si>
  <si>
    <t>September 14, 2023</t>
  </si>
  <si>
    <t>May 2, 2024</t>
  </si>
  <si>
    <t>33-90557069-0</t>
  </si>
  <si>
    <t>08-050634120-9</t>
  </si>
  <si>
    <t>248-239-502-000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</si>
</sst>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mmmm\ d\,\ yyyy"/>
    <numFmt numFmtId="179" formatCode="[$-409]d\-mmm\-yy"/>
    <numFmt numFmtId="180" formatCode="mmm\.\ d\,\ yyyy"/>
    <numFmt numFmtId="181" formatCode="mmmm\ d\,\ yyyy"/>
  </numFmts>
  <fonts count="32">
    <font>
      <sz val="10"/>
      <color rgb="FF000000"/>
      <name val="Calibri"/>
      <charset val="134"/>
      <scheme val="minor"/>
    </font>
    <font>
      <b/>
      <sz val="20"/>
      <color rgb="FF000000"/>
      <name val="Calibri"/>
      <charset val="134"/>
    </font>
    <font>
      <sz val="10"/>
      <name val="Arial"/>
      <charset val="134"/>
    </font>
    <font>
      <b/>
      <sz val="10"/>
      <color rgb="FF000000"/>
      <name val="Calibri"/>
      <charset val="134"/>
    </font>
    <font>
      <b/>
      <sz val="10"/>
      <color theme="1"/>
      <name val="Times New Roman"/>
      <charset val="134"/>
    </font>
    <font>
      <b/>
      <sz val="10"/>
      <color rgb="FF000000"/>
      <name val="Times New Roman"/>
      <charset val="134"/>
    </font>
    <font>
      <sz val="10"/>
      <color rgb="FF000000"/>
      <name val="Arial"/>
      <charset val="134"/>
    </font>
    <font>
      <sz val="10"/>
      <color rgb="FF000000"/>
      <name val="Calibri"/>
      <charset val="134"/>
    </font>
    <font>
      <b/>
      <sz val="10"/>
      <color theme="1"/>
      <name val="Calibri"/>
      <charset val="134"/>
    </font>
    <font>
      <b/>
      <sz val="10"/>
      <color rgb="FFFF0000"/>
      <name val="Calibri"/>
      <charset val="134"/>
    </font>
    <font>
      <b/>
      <sz val="10"/>
      <color rgb="FFFF00FF"/>
      <name val="Calibri"/>
      <charset val="134"/>
    </font>
    <font>
      <sz val="10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3CEFA"/>
        <bgColor rgb="FFB3CEFA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1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16" applyNumberFormat="0" applyAlignment="0" applyProtection="0">
      <alignment vertical="center"/>
    </xf>
    <xf numFmtId="0" fontId="22" fillId="8" borderId="17" applyNumberFormat="0" applyAlignment="0" applyProtection="0">
      <alignment vertical="center"/>
    </xf>
    <xf numFmtId="0" fontId="23" fillId="8" borderId="16" applyNumberFormat="0" applyAlignment="0" applyProtection="0">
      <alignment vertical="center"/>
    </xf>
    <xf numFmtId="0" fontId="24" fillId="9" borderId="18" applyNumberFormat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72">
    <xf numFmtId="0" fontId="0" fillId="0" borderId="0" xfId="0"/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2" borderId="0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49" fontId="4" fillId="3" borderId="2" xfId="0" applyNumberFormat="1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left"/>
    </xf>
    <xf numFmtId="0" fontId="6" fillId="4" borderId="5" xfId="0" applyFont="1" applyFill="1" applyBorder="1" applyAlignment="1">
      <alignment horizontal="left"/>
    </xf>
    <xf numFmtId="0" fontId="3" fillId="4" borderId="7" xfId="0" applyFont="1" applyFill="1" applyBorder="1" applyAlignment="1">
      <alignment horizontal="left"/>
    </xf>
    <xf numFmtId="49" fontId="3" fillId="4" borderId="5" xfId="0" applyNumberFormat="1" applyFont="1" applyFill="1" applyBorder="1" applyAlignment="1">
      <alignment horizontal="left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15" fontId="3" fillId="2" borderId="5" xfId="0" applyNumberFormat="1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49" fontId="3" fillId="2" borderId="5" xfId="0" applyNumberFormat="1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178" fontId="3" fillId="4" borderId="5" xfId="0" applyNumberFormat="1" applyFont="1" applyFill="1" applyBorder="1" applyAlignment="1">
      <alignment horizontal="left" vertical="center"/>
    </xf>
    <xf numFmtId="179" fontId="3" fillId="2" borderId="5" xfId="0" applyNumberFormat="1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7" fillId="2" borderId="0" xfId="0" applyFont="1" applyFill="1" applyBorder="1" applyAlignment="1">
      <alignment horizontal="center" vertical="center"/>
    </xf>
    <xf numFmtId="15" fontId="8" fillId="2" borderId="5" xfId="0" applyNumberFormat="1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15" fontId="3" fillId="2" borderId="8" xfId="0" applyNumberFormat="1" applyFont="1" applyFill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left" vertical="center"/>
    </xf>
    <xf numFmtId="178" fontId="3" fillId="2" borderId="5" xfId="0" applyNumberFormat="1" applyFont="1" applyFill="1" applyBorder="1" applyAlignment="1">
      <alignment horizontal="left" vertical="center"/>
    </xf>
    <xf numFmtId="180" fontId="3" fillId="2" borderId="5" xfId="0" applyNumberFormat="1" applyFont="1" applyFill="1" applyBorder="1" applyAlignment="1">
      <alignment horizontal="left" vertical="center"/>
    </xf>
    <xf numFmtId="181" fontId="0" fillId="2" borderId="5" xfId="0" applyNumberFormat="1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178" fontId="8" fillId="2" borderId="5" xfId="0" applyNumberFormat="1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49" fontId="8" fillId="2" borderId="5" xfId="0" applyNumberFormat="1" applyFont="1" applyFill="1" applyBorder="1" applyAlignment="1">
      <alignment horizontal="left" vertical="center"/>
    </xf>
    <xf numFmtId="179" fontId="8" fillId="2" borderId="5" xfId="0" applyNumberFormat="1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49" fontId="3" fillId="4" borderId="5" xfId="0" applyNumberFormat="1" applyFont="1" applyFill="1" applyBorder="1" applyAlignment="1">
      <alignment horizontal="left" vertical="center"/>
    </xf>
    <xf numFmtId="15" fontId="3" fillId="4" borderId="5" xfId="0" applyNumberFormat="1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178" fontId="8" fillId="0" borderId="8" xfId="0" applyNumberFormat="1" applyFont="1" applyBorder="1" applyAlignment="1">
      <alignment horizontal="left" vertical="center"/>
    </xf>
    <xf numFmtId="49" fontId="8" fillId="0" borderId="8" xfId="0" applyNumberFormat="1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3" fillId="2" borderId="11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178" fontId="3" fillId="4" borderId="10" xfId="0" applyNumberFormat="1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left" vertical="center"/>
    </xf>
    <xf numFmtId="178" fontId="3" fillId="5" borderId="5" xfId="0" applyNumberFormat="1" applyFont="1" applyFill="1" applyBorder="1" applyAlignment="1">
      <alignment horizontal="left" vertical="center"/>
    </xf>
    <xf numFmtId="49" fontId="3" fillId="5" borderId="5" xfId="0" applyNumberFormat="1" applyFont="1" applyFill="1" applyBorder="1" applyAlignment="1">
      <alignment horizontal="left" vertical="center"/>
    </xf>
    <xf numFmtId="0" fontId="10" fillId="5" borderId="5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15" fontId="3" fillId="2" borderId="5" xfId="0" applyNumberFormat="1" applyFont="1" applyFill="1" applyBorder="1" applyAlignment="1" quotePrefix="1">
      <alignment horizontal="left" vertical="center"/>
    </xf>
    <xf numFmtId="0" fontId="3" fillId="2" borderId="5" xfId="0" applyFont="1" applyFill="1" applyBorder="1" applyAlignment="1" quotePrefix="1">
      <alignment horizontal="left" vertical="center"/>
    </xf>
    <xf numFmtId="0" fontId="8" fillId="2" borderId="5" xfId="0" applyFont="1" applyFill="1" applyBorder="1" applyAlignment="1" quotePrefix="1">
      <alignment horizontal="left" vertical="center"/>
    </xf>
    <xf numFmtId="0" fontId="6" fillId="2" borderId="5" xfId="0" applyFont="1" applyFill="1" applyBorder="1" applyAlignment="1" quotePrefix="1">
      <alignment horizontal="left" vertical="center"/>
    </xf>
    <xf numFmtId="49" fontId="3" fillId="2" borderId="5" xfId="0" applyNumberFormat="1" applyFont="1" applyFill="1" applyBorder="1" applyAlignment="1" quotePrefix="1">
      <alignment horizontal="left" vertical="center"/>
    </xf>
    <xf numFmtId="178" fontId="3" fillId="4" borderId="5" xfId="0" applyNumberFormat="1" applyFont="1" applyFill="1" applyBorder="1" applyAlignment="1" quotePrefix="1">
      <alignment horizontal="left" vertical="center"/>
    </xf>
    <xf numFmtId="15" fontId="8" fillId="2" borderId="5" xfId="0" applyNumberFormat="1" applyFont="1" applyFill="1" applyBorder="1" applyAlignment="1" quotePrefix="1">
      <alignment horizontal="left" vertical="center"/>
    </xf>
    <xf numFmtId="15" fontId="3" fillId="2" borderId="8" xfId="0" applyNumberFormat="1" applyFont="1" applyFill="1" applyBorder="1" applyAlignment="1" quotePrefix="1">
      <alignment horizontal="left" vertical="center"/>
    </xf>
    <xf numFmtId="0" fontId="8" fillId="5" borderId="5" xfId="0" applyFont="1" applyFill="1" applyBorder="1" applyAlignment="1" quotePrefix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81160D"/>
  </sheetPr>
  <dimension ref="A1:Z999"/>
  <sheetViews>
    <sheetView tabSelected="1" workbookViewId="0">
      <pane ySplit="2" topLeftCell="A27" activePane="bottomLeft" state="frozen"/>
      <selection/>
      <selection pane="bottomLeft" activeCell="H34" sqref="H34"/>
    </sheetView>
  </sheetViews>
  <sheetFormatPr defaultColWidth="12.5714285714286" defaultRowHeight="15" customHeight="1"/>
  <cols>
    <col min="1" max="1" width="5.57142857142857" style="1" customWidth="1"/>
    <col min="2" max="2" width="12.7142857142857" style="1" customWidth="1"/>
    <col min="3" max="3" width="14.2857142857143" style="1" customWidth="1"/>
    <col min="4" max="4" width="11.4285714285714" style="1" customWidth="1"/>
    <col min="5" max="5" width="4.14285714285714" style="1" customWidth="1"/>
    <col min="6" max="6" width="9" style="1" customWidth="1"/>
    <col min="7" max="7" width="12.4285714285714" style="1" customWidth="1"/>
    <col min="8" max="8" width="17.4285714285714" style="1" customWidth="1"/>
    <col min="9" max="9" width="25.1428571428571" style="1" customWidth="1"/>
    <col min="10" max="10" width="65.5714285714286" style="1" customWidth="1"/>
    <col min="11" max="11" width="25.1428571428571" style="1" customWidth="1"/>
    <col min="12" max="12" width="13.5714285714286" style="1" customWidth="1"/>
    <col min="13" max="13" width="20.7142857142857" style="1" customWidth="1"/>
    <col min="14" max="14" width="16.1428571428571" style="1" customWidth="1"/>
    <col min="15" max="15" width="14.5714285714286" style="1" customWidth="1"/>
    <col min="16" max="17" width="14.2857142857143" style="1" customWidth="1"/>
    <col min="18" max="18" width="15.4285714285714" style="1" customWidth="1"/>
    <col min="19" max="19" width="16.7142857142857" style="1" customWidth="1"/>
    <col min="20" max="20" width="16" style="1" customWidth="1"/>
    <col min="21" max="21" width="9.14285714285714" style="1" customWidth="1"/>
    <col min="22" max="26" width="8.57142857142857" style="1" customWidth="1"/>
    <col min="27" max="16384" width="12.5714285714286" style="1"/>
  </cols>
  <sheetData>
    <row r="1" ht="30" customHeight="1" spans="1:2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" customHeight="1" spans="1:2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5" t="s">
        <v>8</v>
      </c>
      <c r="I2" s="7" t="s">
        <v>9</v>
      </c>
      <c r="J2" s="5" t="s">
        <v>10</v>
      </c>
      <c r="K2" s="5" t="s">
        <v>11</v>
      </c>
      <c r="L2" s="5" t="s">
        <v>12</v>
      </c>
      <c r="M2" s="8" t="s">
        <v>13</v>
      </c>
      <c r="N2" s="8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9" t="s">
        <v>20</v>
      </c>
      <c r="U2" s="10"/>
      <c r="V2" s="10"/>
      <c r="W2" s="10"/>
      <c r="X2" s="10"/>
      <c r="Y2" s="10"/>
      <c r="Z2" s="10"/>
    </row>
    <row r="3" ht="13.5" customHeight="1" spans="1:26">
      <c r="A3" s="11">
        <f t="shared" ref="A3:A51" si="0">ROW(A1)</f>
        <v>1</v>
      </c>
      <c r="B3" s="12" t="s">
        <v>21</v>
      </c>
      <c r="C3" s="12" t="s">
        <v>22</v>
      </c>
      <c r="D3" s="12" t="s">
        <v>23</v>
      </c>
      <c r="E3" s="12"/>
      <c r="F3" s="12" t="s">
        <v>24</v>
      </c>
      <c r="G3" s="13"/>
      <c r="H3" s="14"/>
      <c r="I3" s="15">
        <v>9385879635</v>
      </c>
      <c r="J3" s="12" t="s">
        <v>25</v>
      </c>
      <c r="K3" s="12" t="s">
        <v>26</v>
      </c>
      <c r="L3" s="12" t="s">
        <v>27</v>
      </c>
      <c r="M3" s="16" t="s">
        <v>28</v>
      </c>
      <c r="N3" s="12"/>
      <c r="O3" s="12"/>
      <c r="P3" s="12" t="s">
        <v>29</v>
      </c>
      <c r="Q3" s="12"/>
      <c r="R3" s="12" t="s">
        <v>30</v>
      </c>
      <c r="S3" s="12" t="s">
        <v>31</v>
      </c>
      <c r="T3" s="17"/>
      <c r="U3" s="4"/>
      <c r="V3" s="4"/>
      <c r="W3" s="4"/>
      <c r="X3" s="4"/>
      <c r="Y3" s="4"/>
      <c r="Z3" s="4"/>
    </row>
    <row r="4" ht="13.5" customHeight="1" spans="1:26">
      <c r="A4" s="11">
        <f t="shared" si="0"/>
        <v>2</v>
      </c>
      <c r="B4" s="17" t="s">
        <v>32</v>
      </c>
      <c r="C4" s="17" t="s">
        <v>33</v>
      </c>
      <c r="D4" s="17" t="s">
        <v>34</v>
      </c>
      <c r="E4" s="17"/>
      <c r="F4" s="17" t="s">
        <v>35</v>
      </c>
      <c r="G4" s="18" t="s">
        <v>36</v>
      </c>
      <c r="H4" s="72" t="s">
        <v>37</v>
      </c>
      <c r="I4" s="20" t="s">
        <v>38</v>
      </c>
      <c r="J4" s="17" t="s">
        <v>39</v>
      </c>
      <c r="K4" s="17" t="s">
        <v>40</v>
      </c>
      <c r="L4" s="21" t="s">
        <v>41</v>
      </c>
      <c r="M4" s="73" t="s">
        <v>42</v>
      </c>
      <c r="N4" s="72" t="s">
        <v>43</v>
      </c>
      <c r="O4" s="17"/>
      <c r="P4" s="17" t="s">
        <v>44</v>
      </c>
      <c r="Q4" s="17" t="s">
        <v>45</v>
      </c>
      <c r="R4" s="17" t="s">
        <v>46</v>
      </c>
      <c r="S4" s="17"/>
      <c r="T4" s="17"/>
      <c r="U4" s="22"/>
      <c r="V4" s="4"/>
      <c r="W4" s="4"/>
      <c r="X4" s="4"/>
      <c r="Y4" s="4"/>
      <c r="Z4" s="4"/>
    </row>
    <row r="5" ht="13.5" customHeight="1" spans="1:26">
      <c r="A5" s="11">
        <f t="shared" si="0"/>
        <v>3</v>
      </c>
      <c r="B5" s="17" t="s">
        <v>47</v>
      </c>
      <c r="C5" s="17" t="s">
        <v>48</v>
      </c>
      <c r="D5" s="17" t="s">
        <v>49</v>
      </c>
      <c r="E5" s="23"/>
      <c r="F5" s="17" t="s">
        <v>35</v>
      </c>
      <c r="G5" s="18" t="s">
        <v>36</v>
      </c>
      <c r="H5" s="24">
        <v>29645</v>
      </c>
      <c r="I5" s="20" t="s">
        <v>50</v>
      </c>
      <c r="J5" s="17" t="s">
        <v>51</v>
      </c>
      <c r="K5" s="17" t="s">
        <v>52</v>
      </c>
      <c r="L5" s="17" t="s">
        <v>41</v>
      </c>
      <c r="M5" s="21" t="s">
        <v>53</v>
      </c>
      <c r="N5" s="21"/>
      <c r="O5" s="25"/>
      <c r="P5" s="17" t="s">
        <v>54</v>
      </c>
      <c r="Q5" s="17" t="s">
        <v>55</v>
      </c>
      <c r="R5" s="17" t="s">
        <v>56</v>
      </c>
      <c r="S5" s="17" t="s">
        <v>57</v>
      </c>
      <c r="T5" s="17" t="s">
        <v>58</v>
      </c>
      <c r="U5" s="4"/>
      <c r="V5" s="4"/>
      <c r="W5" s="4"/>
      <c r="X5" s="4"/>
      <c r="Y5" s="4"/>
      <c r="Z5" s="4"/>
    </row>
    <row r="6" ht="13.5" customHeight="1" spans="1:26">
      <c r="A6" s="11">
        <f t="shared" si="0"/>
        <v>4</v>
      </c>
      <c r="B6" s="17" t="s">
        <v>59</v>
      </c>
      <c r="C6" s="17" t="s">
        <v>60</v>
      </c>
      <c r="D6" s="17" t="s">
        <v>61</v>
      </c>
      <c r="E6" s="23"/>
      <c r="F6" s="17" t="s">
        <v>35</v>
      </c>
      <c r="G6" s="18" t="s">
        <v>36</v>
      </c>
      <c r="H6" s="21" t="s">
        <v>62</v>
      </c>
      <c r="I6" s="20" t="s">
        <v>63</v>
      </c>
      <c r="J6" s="17" t="s">
        <v>64</v>
      </c>
      <c r="K6" s="17" t="s">
        <v>65</v>
      </c>
      <c r="L6" s="26" t="s">
        <v>66</v>
      </c>
      <c r="M6" s="21" t="s">
        <v>67</v>
      </c>
      <c r="N6" s="74" t="s">
        <v>68</v>
      </c>
      <c r="O6" s="17" t="s">
        <v>69</v>
      </c>
      <c r="P6" s="17" t="s">
        <v>70</v>
      </c>
      <c r="Q6" s="17" t="s">
        <v>71</v>
      </c>
      <c r="R6" s="17" t="s">
        <v>72</v>
      </c>
      <c r="S6" s="17" t="s">
        <v>73</v>
      </c>
      <c r="T6" s="17" t="str">
        <f>IF(ISBLANK($N$43),"Active","Resigned")</f>
        <v>Active</v>
      </c>
      <c r="U6" s="4"/>
      <c r="V6" s="4"/>
      <c r="W6" s="4"/>
      <c r="X6" s="4"/>
      <c r="Y6" s="4"/>
      <c r="Z6" s="4"/>
    </row>
    <row r="7" ht="13.5" customHeight="1" spans="1:26">
      <c r="A7" s="11">
        <f t="shared" si="0"/>
        <v>5</v>
      </c>
      <c r="B7" s="17" t="s">
        <v>74</v>
      </c>
      <c r="C7" s="17" t="s">
        <v>75</v>
      </c>
      <c r="D7" s="17" t="s">
        <v>76</v>
      </c>
      <c r="E7" s="17"/>
      <c r="F7" s="17" t="s">
        <v>24</v>
      </c>
      <c r="G7" s="18" t="s">
        <v>36</v>
      </c>
      <c r="H7" s="75" t="s">
        <v>77</v>
      </c>
      <c r="I7" s="20">
        <v>9564414038</v>
      </c>
      <c r="J7" s="17" t="s">
        <v>78</v>
      </c>
      <c r="K7" s="17" t="s">
        <v>79</v>
      </c>
      <c r="L7" s="17" t="s">
        <v>80</v>
      </c>
      <c r="M7" s="76" t="s">
        <v>81</v>
      </c>
      <c r="N7" s="17"/>
      <c r="O7" s="17"/>
      <c r="P7" s="17" t="s">
        <v>82</v>
      </c>
      <c r="Q7" s="17" t="s">
        <v>83</v>
      </c>
      <c r="R7" s="17" t="s">
        <v>84</v>
      </c>
      <c r="S7" s="17" t="s">
        <v>85</v>
      </c>
      <c r="T7" s="17"/>
      <c r="U7" s="4"/>
      <c r="V7" s="4"/>
      <c r="W7" s="4"/>
      <c r="X7" s="4"/>
      <c r="Y7" s="4"/>
      <c r="Z7" s="4"/>
    </row>
    <row r="8" ht="13.5" customHeight="1" spans="1:26">
      <c r="A8" s="11">
        <f t="shared" si="0"/>
        <v>6</v>
      </c>
      <c r="B8" s="17" t="s">
        <v>86</v>
      </c>
      <c r="C8" s="17" t="s">
        <v>87</v>
      </c>
      <c r="D8" s="17" t="s">
        <v>88</v>
      </c>
      <c r="E8" s="23"/>
      <c r="F8" s="17" t="s">
        <v>24</v>
      </c>
      <c r="G8" s="18" t="s">
        <v>36</v>
      </c>
      <c r="H8" s="77" t="s">
        <v>89</v>
      </c>
      <c r="I8" s="20">
        <v>9071619226</v>
      </c>
      <c r="J8" s="17" t="s">
        <v>90</v>
      </c>
      <c r="K8" s="17" t="s">
        <v>91</v>
      </c>
      <c r="L8" s="17" t="s">
        <v>41</v>
      </c>
      <c r="M8" s="76" t="s">
        <v>92</v>
      </c>
      <c r="N8" s="21" t="s">
        <v>93</v>
      </c>
      <c r="O8" s="23"/>
      <c r="P8" s="17" t="s">
        <v>94</v>
      </c>
      <c r="Q8" s="28"/>
      <c r="R8" s="17" t="s">
        <v>95</v>
      </c>
      <c r="S8" s="23"/>
      <c r="T8" s="17"/>
      <c r="U8" s="4"/>
      <c r="V8" s="22"/>
      <c r="W8" s="22"/>
      <c r="X8" s="22"/>
      <c r="Y8" s="22"/>
      <c r="Z8" s="22"/>
    </row>
    <row r="9" ht="13.5" customHeight="1" spans="1:26">
      <c r="A9" s="11">
        <f t="shared" si="0"/>
        <v>7</v>
      </c>
      <c r="B9" s="17" t="s">
        <v>96</v>
      </c>
      <c r="C9" s="17" t="s">
        <v>97</v>
      </c>
      <c r="D9" s="17" t="s">
        <v>98</v>
      </c>
      <c r="E9" s="23"/>
      <c r="F9" s="17" t="s">
        <v>35</v>
      </c>
      <c r="G9" s="18" t="s">
        <v>99</v>
      </c>
      <c r="H9" s="24">
        <v>30116</v>
      </c>
      <c r="I9" s="20" t="s">
        <v>100</v>
      </c>
      <c r="J9" s="17" t="s">
        <v>101</v>
      </c>
      <c r="K9" s="17" t="s">
        <v>102</v>
      </c>
      <c r="L9" s="17" t="s">
        <v>41</v>
      </c>
      <c r="M9" s="21" t="s">
        <v>103</v>
      </c>
      <c r="N9" s="76" t="s">
        <v>104</v>
      </c>
      <c r="O9" s="23"/>
      <c r="P9" s="17" t="s">
        <v>105</v>
      </c>
      <c r="Q9" s="17" t="s">
        <v>106</v>
      </c>
      <c r="R9" s="17" t="s">
        <v>107</v>
      </c>
      <c r="S9" s="17" t="s">
        <v>108</v>
      </c>
      <c r="T9" s="17"/>
      <c r="U9" s="4"/>
      <c r="V9" s="4"/>
      <c r="W9" s="4"/>
      <c r="X9" s="4"/>
      <c r="Y9" s="4"/>
      <c r="Z9" s="4"/>
    </row>
    <row r="10" ht="13.5" customHeight="1" spans="1:26">
      <c r="A10" s="11">
        <f t="shared" si="0"/>
        <v>8</v>
      </c>
      <c r="B10" s="17" t="s">
        <v>109</v>
      </c>
      <c r="C10" s="17" t="s">
        <v>110</v>
      </c>
      <c r="D10" s="17" t="s">
        <v>111</v>
      </c>
      <c r="E10" s="23"/>
      <c r="F10" s="17" t="s">
        <v>35</v>
      </c>
      <c r="G10" s="18" t="s">
        <v>99</v>
      </c>
      <c r="H10" s="24">
        <v>32355</v>
      </c>
      <c r="I10" s="20" t="s">
        <v>112</v>
      </c>
      <c r="J10" s="17" t="s">
        <v>113</v>
      </c>
      <c r="K10" s="17" t="s">
        <v>114</v>
      </c>
      <c r="L10" s="17" t="s">
        <v>115</v>
      </c>
      <c r="M10" s="21" t="s">
        <v>116</v>
      </c>
      <c r="N10" s="21" t="s">
        <v>117</v>
      </c>
      <c r="O10" s="23"/>
      <c r="P10" s="17" t="s">
        <v>118</v>
      </c>
      <c r="Q10" s="17" t="s">
        <v>119</v>
      </c>
      <c r="R10" s="17" t="s">
        <v>120</v>
      </c>
      <c r="S10" s="17" t="s">
        <v>121</v>
      </c>
      <c r="T10" s="17" t="s">
        <v>58</v>
      </c>
      <c r="U10" s="4"/>
      <c r="V10" s="4"/>
      <c r="W10" s="4"/>
      <c r="X10" s="4"/>
      <c r="Y10" s="4"/>
      <c r="Z10" s="4"/>
    </row>
    <row r="11" ht="13.5" customHeight="1" spans="1:26">
      <c r="A11" s="11">
        <f t="shared" si="0"/>
        <v>9</v>
      </c>
      <c r="B11" s="17" t="s">
        <v>109</v>
      </c>
      <c r="C11" s="17" t="s">
        <v>122</v>
      </c>
      <c r="D11" s="17" t="s">
        <v>123</v>
      </c>
      <c r="E11" s="23"/>
      <c r="F11" s="17" t="s">
        <v>35</v>
      </c>
      <c r="G11" s="18" t="s">
        <v>36</v>
      </c>
      <c r="H11" s="24">
        <v>31125</v>
      </c>
      <c r="I11" s="20" t="s">
        <v>124</v>
      </c>
      <c r="J11" s="17" t="s">
        <v>125</v>
      </c>
      <c r="K11" s="17" t="s">
        <v>126</v>
      </c>
      <c r="L11" s="17" t="s">
        <v>41</v>
      </c>
      <c r="M11" s="21" t="s">
        <v>127</v>
      </c>
      <c r="N11" s="21" t="s">
        <v>128</v>
      </c>
      <c r="O11" s="23"/>
      <c r="P11" s="17" t="s">
        <v>129</v>
      </c>
      <c r="Q11" s="17" t="s">
        <v>130</v>
      </c>
      <c r="R11" s="17" t="s">
        <v>131</v>
      </c>
      <c r="S11" s="17" t="s">
        <v>132</v>
      </c>
      <c r="T11" s="17" t="s">
        <v>58</v>
      </c>
      <c r="U11" s="4"/>
      <c r="V11" s="4"/>
      <c r="W11" s="4"/>
      <c r="X11" s="4"/>
      <c r="Y11" s="4"/>
      <c r="Z11" s="4"/>
    </row>
    <row r="12" ht="13.5" customHeight="1" spans="1:26">
      <c r="A12" s="11">
        <f t="shared" si="0"/>
        <v>10</v>
      </c>
      <c r="B12" s="17" t="s">
        <v>133</v>
      </c>
      <c r="C12" s="17" t="s">
        <v>134</v>
      </c>
      <c r="D12" s="17"/>
      <c r="E12" s="23"/>
      <c r="F12" s="17" t="s">
        <v>24</v>
      </c>
      <c r="G12" s="18"/>
      <c r="H12" s="24">
        <v>39061</v>
      </c>
      <c r="I12" s="20" t="s">
        <v>135</v>
      </c>
      <c r="J12" s="17" t="s">
        <v>136</v>
      </c>
      <c r="K12" s="17" t="s">
        <v>137</v>
      </c>
      <c r="L12" s="17"/>
      <c r="M12" s="21" t="s">
        <v>138</v>
      </c>
      <c r="N12" s="21"/>
      <c r="O12" s="23"/>
      <c r="P12" s="17"/>
      <c r="Q12" s="29"/>
      <c r="R12" s="17"/>
      <c r="S12" s="17"/>
      <c r="T12" s="18"/>
      <c r="U12" s="4"/>
      <c r="V12" s="4"/>
      <c r="W12" s="4"/>
      <c r="X12" s="4"/>
      <c r="Y12" s="4"/>
      <c r="Z12" s="4"/>
    </row>
    <row r="13" ht="13.5" customHeight="1" spans="1:26">
      <c r="A13" s="11">
        <f t="shared" si="0"/>
        <v>11</v>
      </c>
      <c r="B13" s="17" t="s">
        <v>139</v>
      </c>
      <c r="C13" s="17" t="s">
        <v>140</v>
      </c>
      <c r="D13" s="17" t="s">
        <v>141</v>
      </c>
      <c r="E13" s="23"/>
      <c r="F13" s="17" t="s">
        <v>35</v>
      </c>
      <c r="G13" s="18" t="s">
        <v>36</v>
      </c>
      <c r="H13" s="24">
        <v>29590</v>
      </c>
      <c r="I13" s="20" t="s">
        <v>142</v>
      </c>
      <c r="J13" s="17" t="s">
        <v>143</v>
      </c>
      <c r="K13" s="17" t="s">
        <v>144</v>
      </c>
      <c r="L13" s="17" t="s">
        <v>41</v>
      </c>
      <c r="M13" s="21" t="s">
        <v>145</v>
      </c>
      <c r="N13" s="21" t="s">
        <v>146</v>
      </c>
      <c r="O13" s="23"/>
      <c r="P13" s="17" t="s">
        <v>147</v>
      </c>
      <c r="Q13" s="4" t="s">
        <v>148</v>
      </c>
      <c r="R13" s="17" t="s">
        <v>149</v>
      </c>
      <c r="S13" s="17" t="s">
        <v>150</v>
      </c>
      <c r="T13" s="18" t="s">
        <v>151</v>
      </c>
      <c r="U13" s="30"/>
      <c r="V13" s="4"/>
      <c r="W13" s="4"/>
      <c r="X13" s="4"/>
      <c r="Y13" s="4"/>
      <c r="Z13" s="4"/>
    </row>
    <row r="14" ht="13.5" customHeight="1" spans="1:26">
      <c r="A14" s="11">
        <f t="shared" si="0"/>
        <v>12</v>
      </c>
      <c r="B14" s="17" t="s">
        <v>152</v>
      </c>
      <c r="C14" s="17" t="s">
        <v>153</v>
      </c>
      <c r="D14" s="17" t="s">
        <v>154</v>
      </c>
      <c r="E14" s="23"/>
      <c r="F14" s="17" t="s">
        <v>35</v>
      </c>
      <c r="G14" s="18" t="s">
        <v>36</v>
      </c>
      <c r="H14" s="21" t="s">
        <v>155</v>
      </c>
      <c r="I14" s="20" t="s">
        <v>156</v>
      </c>
      <c r="J14" s="17" t="s">
        <v>157</v>
      </c>
      <c r="K14" s="17" t="s">
        <v>158</v>
      </c>
      <c r="L14" s="17" t="s">
        <v>159</v>
      </c>
      <c r="M14" s="21" t="s">
        <v>160</v>
      </c>
      <c r="N14" s="78" t="s">
        <v>161</v>
      </c>
      <c r="O14" s="31"/>
      <c r="P14" s="17" t="s">
        <v>162</v>
      </c>
      <c r="Q14" s="17" t="s">
        <v>163</v>
      </c>
      <c r="R14" s="17" t="s">
        <v>164</v>
      </c>
      <c r="S14" s="23" t="s">
        <v>165</v>
      </c>
      <c r="T14" s="17" t="s">
        <v>58</v>
      </c>
      <c r="U14" s="4"/>
      <c r="V14" s="4"/>
      <c r="W14" s="4"/>
      <c r="X14" s="4"/>
      <c r="Y14" s="4"/>
      <c r="Z14" s="4"/>
    </row>
    <row r="15" ht="17.25" customHeight="1" spans="1:26">
      <c r="A15" s="11">
        <f t="shared" si="0"/>
        <v>13</v>
      </c>
      <c r="B15" s="32" t="s">
        <v>166</v>
      </c>
      <c r="C15" s="33" t="s">
        <v>167</v>
      </c>
      <c r="D15" s="33" t="s">
        <v>168</v>
      </c>
      <c r="E15" s="17"/>
      <c r="F15" s="32" t="s">
        <v>35</v>
      </c>
      <c r="G15" s="32" t="s">
        <v>36</v>
      </c>
      <c r="H15" s="79" t="s">
        <v>169</v>
      </c>
      <c r="I15" s="32">
        <v>9952621710</v>
      </c>
      <c r="J15" s="32" t="s">
        <v>170</v>
      </c>
      <c r="K15" s="32" t="s">
        <v>171</v>
      </c>
      <c r="L15" s="32" t="s">
        <v>80</v>
      </c>
      <c r="M15" s="35" t="s">
        <v>172</v>
      </c>
      <c r="N15" s="17"/>
      <c r="O15" s="32"/>
      <c r="P15" s="32" t="s">
        <v>173</v>
      </c>
      <c r="Q15" s="32"/>
      <c r="R15" s="32" t="s">
        <v>174</v>
      </c>
      <c r="S15" s="32"/>
      <c r="T15" s="32"/>
      <c r="U15" s="4"/>
      <c r="V15" s="4"/>
      <c r="W15" s="4"/>
      <c r="X15" s="4"/>
      <c r="Y15" s="4"/>
      <c r="Z15" s="4"/>
    </row>
    <row r="16" ht="13.5" customHeight="1" spans="1:26">
      <c r="A16" s="11">
        <f t="shared" si="0"/>
        <v>14</v>
      </c>
      <c r="B16" s="17" t="s">
        <v>175</v>
      </c>
      <c r="C16" s="17" t="s">
        <v>176</v>
      </c>
      <c r="D16" s="17" t="s">
        <v>177</v>
      </c>
      <c r="E16" s="17"/>
      <c r="F16" s="17" t="s">
        <v>35</v>
      </c>
      <c r="G16" s="18"/>
      <c r="H16" s="72" t="s">
        <v>178</v>
      </c>
      <c r="I16" s="20">
        <v>9212246098</v>
      </c>
      <c r="J16" s="17" t="s">
        <v>179</v>
      </c>
      <c r="K16" s="17" t="s">
        <v>180</v>
      </c>
      <c r="L16" s="17" t="s">
        <v>27</v>
      </c>
      <c r="M16" s="21" t="s">
        <v>181</v>
      </c>
      <c r="N16" s="17"/>
      <c r="O16" s="17"/>
      <c r="P16" s="17" t="s">
        <v>182</v>
      </c>
      <c r="Q16" s="17"/>
      <c r="R16" s="17" t="s">
        <v>183</v>
      </c>
      <c r="S16" s="17"/>
      <c r="T16" s="17"/>
      <c r="U16" s="4"/>
      <c r="V16" s="4"/>
      <c r="W16" s="4"/>
      <c r="X16" s="4"/>
      <c r="Y16" s="4"/>
      <c r="Z16" s="4"/>
    </row>
    <row r="17" ht="13.5" customHeight="1" spans="1:26">
      <c r="A17" s="11">
        <f t="shared" si="0"/>
        <v>15</v>
      </c>
      <c r="B17" s="17" t="s">
        <v>184</v>
      </c>
      <c r="C17" s="17" t="s">
        <v>185</v>
      </c>
      <c r="D17" s="17" t="s">
        <v>186</v>
      </c>
      <c r="E17" s="23"/>
      <c r="F17" s="17" t="s">
        <v>35</v>
      </c>
      <c r="G17" s="18" t="s">
        <v>99</v>
      </c>
      <c r="H17" s="24">
        <v>27787</v>
      </c>
      <c r="I17" s="20" t="s">
        <v>187</v>
      </c>
      <c r="J17" s="17" t="s">
        <v>188</v>
      </c>
      <c r="K17" s="17" t="s">
        <v>189</v>
      </c>
      <c r="L17" s="17" t="s">
        <v>41</v>
      </c>
      <c r="M17" s="21" t="s">
        <v>190</v>
      </c>
      <c r="N17" s="21" t="s">
        <v>191</v>
      </c>
      <c r="O17" s="23"/>
      <c r="P17" s="17" t="s">
        <v>192</v>
      </c>
      <c r="Q17" s="17" t="s">
        <v>193</v>
      </c>
      <c r="R17" s="17" t="s">
        <v>194</v>
      </c>
      <c r="S17" s="17" t="s">
        <v>195</v>
      </c>
      <c r="T17" s="17" t="s">
        <v>58</v>
      </c>
      <c r="U17" s="4"/>
      <c r="V17" s="4"/>
      <c r="W17" s="4"/>
      <c r="X17" s="4"/>
      <c r="Y17" s="4"/>
      <c r="Z17" s="4"/>
    </row>
    <row r="18" ht="13.5" customHeight="1" spans="1:26">
      <c r="A18" s="11">
        <f t="shared" si="0"/>
        <v>16</v>
      </c>
      <c r="B18" s="17" t="s">
        <v>184</v>
      </c>
      <c r="C18" s="17" t="s">
        <v>196</v>
      </c>
      <c r="D18" s="17" t="s">
        <v>186</v>
      </c>
      <c r="E18" s="23"/>
      <c r="F18" s="17" t="s">
        <v>35</v>
      </c>
      <c r="G18" s="18" t="s">
        <v>99</v>
      </c>
      <c r="H18" s="36">
        <v>30375</v>
      </c>
      <c r="I18" s="20" t="s">
        <v>197</v>
      </c>
      <c r="J18" s="17" t="s">
        <v>188</v>
      </c>
      <c r="K18" s="17" t="s">
        <v>126</v>
      </c>
      <c r="L18" s="17" t="s">
        <v>41</v>
      </c>
      <c r="M18" s="21" t="s">
        <v>198</v>
      </c>
      <c r="N18" s="21" t="s">
        <v>199</v>
      </c>
      <c r="O18" s="23"/>
      <c r="P18" s="17" t="s">
        <v>200</v>
      </c>
      <c r="Q18" s="17" t="s">
        <v>201</v>
      </c>
      <c r="R18" s="17" t="s">
        <v>202</v>
      </c>
      <c r="S18" s="17" t="s">
        <v>203</v>
      </c>
      <c r="T18" s="17" t="s">
        <v>58</v>
      </c>
      <c r="U18" s="4"/>
      <c r="V18" s="4"/>
      <c r="W18" s="4"/>
      <c r="X18" s="4"/>
      <c r="Y18" s="4"/>
      <c r="Z18" s="4"/>
    </row>
    <row r="19" ht="13.5" customHeight="1" spans="1:26">
      <c r="A19" s="11">
        <f t="shared" si="0"/>
        <v>17</v>
      </c>
      <c r="B19" s="17" t="s">
        <v>204</v>
      </c>
      <c r="C19" s="17" t="s">
        <v>205</v>
      </c>
      <c r="D19" s="17" t="s">
        <v>206</v>
      </c>
      <c r="E19" s="17"/>
      <c r="F19" s="17" t="s">
        <v>35</v>
      </c>
      <c r="G19" s="18" t="s">
        <v>36</v>
      </c>
      <c r="H19" s="72" t="s">
        <v>207</v>
      </c>
      <c r="I19" s="20">
        <v>9756646141</v>
      </c>
      <c r="J19" s="17" t="s">
        <v>208</v>
      </c>
      <c r="K19" s="17" t="s">
        <v>171</v>
      </c>
      <c r="L19" s="17" t="s">
        <v>41</v>
      </c>
      <c r="M19" s="21" t="s">
        <v>209</v>
      </c>
      <c r="N19" s="37">
        <v>46002</v>
      </c>
      <c r="O19" s="17"/>
      <c r="P19" s="17" t="s">
        <v>210</v>
      </c>
      <c r="Q19" s="17" t="s">
        <v>211</v>
      </c>
      <c r="R19" s="17" t="s">
        <v>212</v>
      </c>
      <c r="S19" s="17" t="s">
        <v>213</v>
      </c>
      <c r="T19" s="17"/>
      <c r="U19" s="4"/>
      <c r="V19" s="4"/>
      <c r="W19" s="4"/>
      <c r="X19" s="4"/>
      <c r="Y19" s="4"/>
      <c r="Z19" s="4"/>
    </row>
    <row r="20" ht="13.5" customHeight="1" spans="1:26">
      <c r="A20" s="11">
        <f t="shared" si="0"/>
        <v>18</v>
      </c>
      <c r="B20" s="17" t="s">
        <v>214</v>
      </c>
      <c r="C20" s="17" t="s">
        <v>215</v>
      </c>
      <c r="D20" s="17" t="s">
        <v>216</v>
      </c>
      <c r="E20" s="23"/>
      <c r="F20" s="17" t="s">
        <v>35</v>
      </c>
      <c r="G20" s="18" t="s">
        <v>36</v>
      </c>
      <c r="H20" s="36" t="s">
        <v>217</v>
      </c>
      <c r="I20" s="20" t="s">
        <v>218</v>
      </c>
      <c r="J20" s="17" t="s">
        <v>219</v>
      </c>
      <c r="K20" s="17" t="s">
        <v>220</v>
      </c>
      <c r="L20" s="17" t="s">
        <v>221</v>
      </c>
      <c r="M20" s="21" t="s">
        <v>222</v>
      </c>
      <c r="N20" s="78" t="s">
        <v>223</v>
      </c>
      <c r="O20" s="31"/>
      <c r="P20" s="17" t="s">
        <v>224</v>
      </c>
      <c r="Q20" s="17"/>
      <c r="R20" s="17" t="s">
        <v>225</v>
      </c>
      <c r="S20" s="17" t="s">
        <v>226</v>
      </c>
      <c r="T20" s="17"/>
      <c r="U20" s="4"/>
      <c r="V20" s="30"/>
      <c r="W20" s="30"/>
      <c r="X20" s="30"/>
      <c r="Y20" s="30"/>
      <c r="Z20" s="30"/>
    </row>
    <row r="21" ht="13.5" customHeight="1" spans="1:26">
      <c r="A21" s="11">
        <f t="shared" si="0"/>
        <v>19</v>
      </c>
      <c r="B21" s="17" t="s">
        <v>227</v>
      </c>
      <c r="C21" s="17" t="s">
        <v>228</v>
      </c>
      <c r="D21" s="17" t="s">
        <v>229</v>
      </c>
      <c r="E21" s="17"/>
      <c r="F21" s="17" t="s">
        <v>35</v>
      </c>
      <c r="G21" s="18"/>
      <c r="H21" s="38">
        <v>32954</v>
      </c>
      <c r="I21" s="20">
        <v>9102010344</v>
      </c>
      <c r="J21" s="17" t="s">
        <v>230</v>
      </c>
      <c r="K21" s="17" t="s">
        <v>231</v>
      </c>
      <c r="L21" s="17" t="s">
        <v>27</v>
      </c>
      <c r="M21" s="21" t="s">
        <v>232</v>
      </c>
      <c r="N21" s="17"/>
      <c r="O21" s="17"/>
      <c r="P21" s="17"/>
      <c r="Q21" s="17"/>
      <c r="R21" s="17"/>
      <c r="S21" s="17"/>
      <c r="T21" s="17"/>
      <c r="U21" s="4"/>
      <c r="V21" s="4"/>
      <c r="W21" s="4"/>
      <c r="X21" s="4"/>
      <c r="Y21" s="4"/>
      <c r="Z21" s="4"/>
    </row>
    <row r="22" ht="13.5" customHeight="1" spans="1:26">
      <c r="A22" s="11">
        <f t="shared" si="0"/>
        <v>20</v>
      </c>
      <c r="B22" s="17" t="s">
        <v>233</v>
      </c>
      <c r="C22" s="17" t="s">
        <v>234</v>
      </c>
      <c r="D22" s="17" t="s">
        <v>235</v>
      </c>
      <c r="E22" s="17"/>
      <c r="F22" s="17" t="s">
        <v>35</v>
      </c>
      <c r="G22" s="18" t="s">
        <v>36</v>
      </c>
      <c r="H22" s="75" t="s">
        <v>236</v>
      </c>
      <c r="I22" s="20" t="s">
        <v>237</v>
      </c>
      <c r="J22" s="17" t="s">
        <v>238</v>
      </c>
      <c r="K22" s="17" t="s">
        <v>239</v>
      </c>
      <c r="L22" s="17" t="s">
        <v>80</v>
      </c>
      <c r="M22" s="76" t="s">
        <v>240</v>
      </c>
      <c r="N22" s="17"/>
      <c r="O22" s="17"/>
      <c r="P22" s="17" t="s">
        <v>241</v>
      </c>
      <c r="Q22" s="17" t="s">
        <v>242</v>
      </c>
      <c r="R22" s="17" t="s">
        <v>243</v>
      </c>
      <c r="S22" s="17"/>
      <c r="T22" s="17" t="s">
        <v>244</v>
      </c>
      <c r="U22" s="4"/>
      <c r="V22" s="4"/>
      <c r="W22" s="4"/>
      <c r="X22" s="4"/>
      <c r="Y22" s="4"/>
      <c r="Z22" s="4"/>
    </row>
    <row r="23" ht="13.5" customHeight="1" spans="1:26">
      <c r="A23" s="11">
        <f t="shared" si="0"/>
        <v>21</v>
      </c>
      <c r="B23" s="17" t="s">
        <v>186</v>
      </c>
      <c r="C23" s="17" t="s">
        <v>245</v>
      </c>
      <c r="D23" s="17" t="s">
        <v>140</v>
      </c>
      <c r="E23" s="17"/>
      <c r="F23" s="17" t="s">
        <v>24</v>
      </c>
      <c r="G23" s="18"/>
      <c r="H23" s="72" t="s">
        <v>246</v>
      </c>
      <c r="I23" s="20">
        <v>9456337648</v>
      </c>
      <c r="J23" s="17" t="s">
        <v>247</v>
      </c>
      <c r="K23" s="17" t="s">
        <v>248</v>
      </c>
      <c r="L23" s="17" t="s">
        <v>80</v>
      </c>
      <c r="M23" s="21" t="s">
        <v>249</v>
      </c>
      <c r="N23" s="17"/>
      <c r="O23" s="17"/>
      <c r="P23" s="17" t="s">
        <v>250</v>
      </c>
      <c r="Q23" s="17" t="s">
        <v>251</v>
      </c>
      <c r="R23" s="17" t="s">
        <v>252</v>
      </c>
      <c r="S23" s="17"/>
      <c r="T23" s="17"/>
      <c r="U23" s="4"/>
      <c r="V23" s="4"/>
      <c r="W23" s="4"/>
      <c r="X23" s="4"/>
      <c r="Y23" s="4"/>
      <c r="Z23" s="4"/>
    </row>
    <row r="24" customHeight="1" spans="1:26">
      <c r="A24" s="11">
        <f t="shared" si="0"/>
        <v>22</v>
      </c>
      <c r="B24" s="17" t="s">
        <v>253</v>
      </c>
      <c r="C24" s="17" t="s">
        <v>254</v>
      </c>
      <c r="D24" s="17" t="s">
        <v>255</v>
      </c>
      <c r="E24" s="17"/>
      <c r="F24" s="17" t="s">
        <v>35</v>
      </c>
      <c r="G24" s="18" t="s">
        <v>36</v>
      </c>
      <c r="H24" s="17" t="s">
        <v>256</v>
      </c>
      <c r="I24" s="20">
        <v>9750959907</v>
      </c>
      <c r="J24" s="17" t="s">
        <v>257</v>
      </c>
      <c r="K24" s="17" t="s">
        <v>258</v>
      </c>
      <c r="L24" s="17" t="s">
        <v>80</v>
      </c>
      <c r="M24" s="21" t="s">
        <v>259</v>
      </c>
      <c r="N24" s="19"/>
      <c r="O24" s="17"/>
      <c r="P24" s="17" t="s">
        <v>260</v>
      </c>
      <c r="Q24" s="17" t="s">
        <v>261</v>
      </c>
      <c r="R24" s="17" t="s">
        <v>262</v>
      </c>
      <c r="S24" s="17"/>
      <c r="T24" s="17"/>
      <c r="U24" s="4"/>
      <c r="V24" s="4"/>
      <c r="W24" s="4"/>
      <c r="X24" s="4"/>
      <c r="Y24" s="4"/>
      <c r="Z24" s="4"/>
    </row>
    <row r="25" ht="13.5" customHeight="1" spans="1:26">
      <c r="A25" s="11">
        <f t="shared" si="0"/>
        <v>23</v>
      </c>
      <c r="B25" s="23" t="s">
        <v>263</v>
      </c>
      <c r="C25" s="23" t="s">
        <v>264</v>
      </c>
      <c r="D25" s="23" t="s">
        <v>265</v>
      </c>
      <c r="E25" s="23"/>
      <c r="F25" s="23" t="s">
        <v>35</v>
      </c>
      <c r="G25" s="39" t="s">
        <v>99</v>
      </c>
      <c r="H25" s="40">
        <v>26156</v>
      </c>
      <c r="I25" s="41" t="s">
        <v>266</v>
      </c>
      <c r="J25" s="23" t="s">
        <v>267</v>
      </c>
      <c r="K25" s="23" t="s">
        <v>268</v>
      </c>
      <c r="L25" s="23" t="s">
        <v>41</v>
      </c>
      <c r="M25" s="42" t="s">
        <v>269</v>
      </c>
      <c r="N25" s="43">
        <v>45617</v>
      </c>
      <c r="O25" s="43"/>
      <c r="P25" s="23" t="s">
        <v>270</v>
      </c>
      <c r="Q25" s="18"/>
      <c r="R25" s="28" t="s">
        <v>271</v>
      </c>
      <c r="S25" s="28" t="s">
        <v>272</v>
      </c>
      <c r="T25" s="17" t="s">
        <v>273</v>
      </c>
      <c r="U25" s="4"/>
      <c r="V25" s="4"/>
      <c r="W25" s="4"/>
      <c r="X25" s="4"/>
      <c r="Y25" s="4"/>
      <c r="Z25" s="4"/>
    </row>
    <row r="26" ht="13.5" customHeight="1" spans="1:26">
      <c r="A26" s="11">
        <f t="shared" si="0"/>
        <v>24</v>
      </c>
      <c r="B26" s="44" t="s">
        <v>274</v>
      </c>
      <c r="C26" s="44" t="s">
        <v>275</v>
      </c>
      <c r="D26" s="44" t="s">
        <v>276</v>
      </c>
      <c r="E26" s="44"/>
      <c r="F26" s="44" t="s">
        <v>24</v>
      </c>
      <c r="G26" s="45" t="s">
        <v>36</v>
      </c>
      <c r="H26" s="24">
        <v>36990</v>
      </c>
      <c r="I26" s="46">
        <v>9081825590</v>
      </c>
      <c r="J26" s="44" t="s">
        <v>277</v>
      </c>
      <c r="K26" s="44" t="s">
        <v>278</v>
      </c>
      <c r="L26" s="44" t="s">
        <v>41</v>
      </c>
      <c r="M26" s="47" t="s">
        <v>279</v>
      </c>
      <c r="N26" s="48"/>
      <c r="O26" s="48"/>
      <c r="P26" s="44" t="s">
        <v>280</v>
      </c>
      <c r="Q26" s="45" t="s">
        <v>281</v>
      </c>
      <c r="R26" s="44" t="s">
        <v>282</v>
      </c>
      <c r="S26" s="44"/>
      <c r="T26" s="44"/>
      <c r="U26" s="4"/>
      <c r="V26" s="4"/>
      <c r="W26" s="4"/>
      <c r="X26" s="4"/>
      <c r="Y26" s="4"/>
      <c r="Z26" s="4"/>
    </row>
    <row r="27" ht="13.5" customHeight="1" spans="1:26">
      <c r="A27" s="11">
        <f t="shared" si="0"/>
        <v>25</v>
      </c>
      <c r="B27" s="17" t="s">
        <v>283</v>
      </c>
      <c r="C27" s="17" t="s">
        <v>284</v>
      </c>
      <c r="D27" s="17" t="s">
        <v>285</v>
      </c>
      <c r="E27" s="23"/>
      <c r="F27" s="17" t="s">
        <v>35</v>
      </c>
      <c r="G27" s="18" t="s">
        <v>99</v>
      </c>
      <c r="H27" s="24">
        <v>32196</v>
      </c>
      <c r="I27" s="20" t="s">
        <v>286</v>
      </c>
      <c r="J27" s="17" t="s">
        <v>287</v>
      </c>
      <c r="K27" s="17" t="s">
        <v>288</v>
      </c>
      <c r="L27" s="17" t="s">
        <v>41</v>
      </c>
      <c r="M27" s="21" t="s">
        <v>289</v>
      </c>
      <c r="N27" s="21" t="s">
        <v>289</v>
      </c>
      <c r="O27" s="23"/>
      <c r="P27" s="17" t="s">
        <v>290</v>
      </c>
      <c r="Q27" s="4" t="s">
        <v>291</v>
      </c>
      <c r="R27" s="17" t="s">
        <v>292</v>
      </c>
      <c r="S27" s="17" t="s">
        <v>293</v>
      </c>
      <c r="T27" s="17" t="s">
        <v>58</v>
      </c>
      <c r="U27" s="4"/>
      <c r="V27" s="4"/>
      <c r="W27" s="4"/>
      <c r="X27" s="4"/>
      <c r="Y27" s="4"/>
      <c r="Z27" s="4"/>
    </row>
    <row r="28" ht="13.5" customHeight="1" spans="1:26">
      <c r="A28" s="11">
        <f t="shared" si="0"/>
        <v>26</v>
      </c>
      <c r="B28" s="17" t="s">
        <v>294</v>
      </c>
      <c r="C28" s="17" t="s">
        <v>295</v>
      </c>
      <c r="D28" s="17" t="s">
        <v>184</v>
      </c>
      <c r="E28" s="23"/>
      <c r="F28" s="17" t="s">
        <v>24</v>
      </c>
      <c r="G28" s="18" t="s">
        <v>36</v>
      </c>
      <c r="H28" s="24">
        <v>33582</v>
      </c>
      <c r="I28" s="20" t="s">
        <v>296</v>
      </c>
      <c r="J28" s="17" t="s">
        <v>297</v>
      </c>
      <c r="K28" s="17" t="s">
        <v>298</v>
      </c>
      <c r="L28" s="17" t="s">
        <v>41</v>
      </c>
      <c r="M28" s="21" t="s">
        <v>299</v>
      </c>
      <c r="N28" s="21" t="s">
        <v>300</v>
      </c>
      <c r="O28" s="23"/>
      <c r="P28" s="17" t="s">
        <v>301</v>
      </c>
      <c r="Q28" s="17" t="s">
        <v>302</v>
      </c>
      <c r="R28" s="17" t="s">
        <v>303</v>
      </c>
      <c r="S28" s="17" t="s">
        <v>304</v>
      </c>
      <c r="T28" s="17" t="s">
        <v>58</v>
      </c>
      <c r="U28" s="4"/>
      <c r="V28" s="4"/>
      <c r="W28" s="4"/>
      <c r="X28" s="4"/>
      <c r="Y28" s="4"/>
      <c r="Z28" s="4"/>
    </row>
    <row r="29" ht="13.5" customHeight="1" spans="1:26">
      <c r="A29" s="11">
        <f t="shared" si="0"/>
        <v>27</v>
      </c>
      <c r="B29" s="17" t="s">
        <v>305</v>
      </c>
      <c r="C29" s="17" t="s">
        <v>306</v>
      </c>
      <c r="D29" s="17" t="s">
        <v>307</v>
      </c>
      <c r="E29" s="23" t="s">
        <v>308</v>
      </c>
      <c r="F29" s="17" t="s">
        <v>35</v>
      </c>
      <c r="G29" s="18" t="s">
        <v>99</v>
      </c>
      <c r="H29" s="24">
        <v>33329</v>
      </c>
      <c r="I29" s="20" t="s">
        <v>309</v>
      </c>
      <c r="J29" s="17" t="s">
        <v>310</v>
      </c>
      <c r="K29" s="17" t="s">
        <v>144</v>
      </c>
      <c r="L29" s="17" t="s">
        <v>41</v>
      </c>
      <c r="M29" s="21" t="s">
        <v>311</v>
      </c>
      <c r="N29" s="21" t="s">
        <v>312</v>
      </c>
      <c r="O29" s="23"/>
      <c r="P29" s="17" t="s">
        <v>313</v>
      </c>
      <c r="Q29" s="17" t="s">
        <v>314</v>
      </c>
      <c r="R29" s="17" t="s">
        <v>315</v>
      </c>
      <c r="S29" s="49" t="s">
        <v>316</v>
      </c>
      <c r="T29" s="17" t="s">
        <v>317</v>
      </c>
      <c r="U29" s="4"/>
      <c r="V29" s="4"/>
      <c r="W29" s="4"/>
      <c r="X29" s="4"/>
      <c r="Y29" s="4"/>
      <c r="Z29" s="4"/>
    </row>
    <row r="30" ht="13.5" customHeight="1" spans="1:26">
      <c r="A30" s="11">
        <f t="shared" si="0"/>
        <v>28</v>
      </c>
      <c r="B30" s="17" t="s">
        <v>318</v>
      </c>
      <c r="C30" s="17" t="s">
        <v>319</v>
      </c>
      <c r="D30" s="17" t="s">
        <v>320</v>
      </c>
      <c r="E30" s="23"/>
      <c r="F30" s="17" t="s">
        <v>24</v>
      </c>
      <c r="G30" s="18" t="s">
        <v>99</v>
      </c>
      <c r="H30" s="24">
        <v>35671</v>
      </c>
      <c r="I30" s="20" t="s">
        <v>321</v>
      </c>
      <c r="J30" s="17" t="s">
        <v>322</v>
      </c>
      <c r="K30" s="17" t="s">
        <v>323</v>
      </c>
      <c r="L30" s="17" t="s">
        <v>41</v>
      </c>
      <c r="M30" s="21" t="s">
        <v>324</v>
      </c>
      <c r="N30" s="21" t="s">
        <v>325</v>
      </c>
      <c r="O30" s="23"/>
      <c r="P30" s="17" t="s">
        <v>326</v>
      </c>
      <c r="Q30" s="17" t="s">
        <v>327</v>
      </c>
      <c r="R30" s="17" t="s">
        <v>328</v>
      </c>
      <c r="S30" s="17" t="s">
        <v>329</v>
      </c>
      <c r="T30" s="17" t="s">
        <v>330</v>
      </c>
      <c r="U30" s="4"/>
      <c r="V30" s="4"/>
      <c r="W30" s="4"/>
      <c r="X30" s="4"/>
      <c r="Y30" s="4"/>
      <c r="Z30" s="4"/>
    </row>
    <row r="31" ht="13.5" customHeight="1" spans="1:26">
      <c r="A31" s="11">
        <f t="shared" si="0"/>
        <v>29</v>
      </c>
      <c r="B31" s="17" t="s">
        <v>331</v>
      </c>
      <c r="C31" s="17" t="s">
        <v>332</v>
      </c>
      <c r="D31" s="17" t="s">
        <v>333</v>
      </c>
      <c r="E31" s="17"/>
      <c r="F31" s="17" t="s">
        <v>35</v>
      </c>
      <c r="G31" s="18" t="s">
        <v>36</v>
      </c>
      <c r="H31" s="72" t="s">
        <v>334</v>
      </c>
      <c r="I31" s="20" t="s">
        <v>335</v>
      </c>
      <c r="J31" s="17" t="s">
        <v>336</v>
      </c>
      <c r="K31" s="17" t="s">
        <v>337</v>
      </c>
      <c r="L31" s="17" t="s">
        <v>41</v>
      </c>
      <c r="M31" s="76" t="s">
        <v>338</v>
      </c>
      <c r="N31" s="73" t="s">
        <v>339</v>
      </c>
      <c r="O31" s="17"/>
      <c r="P31" s="17" t="s">
        <v>340</v>
      </c>
      <c r="Q31" s="17" t="s">
        <v>341</v>
      </c>
      <c r="R31" s="17" t="s">
        <v>342</v>
      </c>
      <c r="S31" s="17" t="s">
        <v>343</v>
      </c>
      <c r="T31" s="17"/>
      <c r="U31" s="4"/>
      <c r="V31" s="4"/>
      <c r="W31" s="4"/>
      <c r="X31" s="4"/>
      <c r="Y31" s="4"/>
      <c r="Z31" s="4"/>
    </row>
    <row r="32" ht="13.5" customHeight="1" spans="1:26">
      <c r="A32" s="11">
        <f t="shared" si="0"/>
        <v>30</v>
      </c>
      <c r="B32" s="17" t="s">
        <v>344</v>
      </c>
      <c r="C32" s="17" t="s">
        <v>345</v>
      </c>
      <c r="D32" s="17" t="s">
        <v>346</v>
      </c>
      <c r="E32" s="23"/>
      <c r="F32" s="17" t="s">
        <v>35</v>
      </c>
      <c r="G32" s="18" t="s">
        <v>36</v>
      </c>
      <c r="H32" s="24">
        <v>34671</v>
      </c>
      <c r="I32" s="20" t="s">
        <v>347</v>
      </c>
      <c r="J32" s="17" t="s">
        <v>238</v>
      </c>
      <c r="K32" s="17" t="s">
        <v>348</v>
      </c>
      <c r="L32" s="17" t="s">
        <v>41</v>
      </c>
      <c r="M32" s="21" t="s">
        <v>349</v>
      </c>
      <c r="N32" s="21" t="s">
        <v>350</v>
      </c>
      <c r="O32" s="23"/>
      <c r="P32" s="17" t="s">
        <v>351</v>
      </c>
      <c r="Q32" s="17" t="s">
        <v>352</v>
      </c>
      <c r="R32" s="17" t="s">
        <v>353</v>
      </c>
      <c r="S32" s="17" t="s">
        <v>354</v>
      </c>
      <c r="T32" s="17" t="s">
        <v>58</v>
      </c>
      <c r="U32" s="4"/>
      <c r="V32" s="30"/>
      <c r="W32" s="30"/>
      <c r="X32" s="30"/>
      <c r="Y32" s="30"/>
      <c r="Z32" s="30"/>
    </row>
    <row r="33" ht="13.5" customHeight="1" spans="1:26">
      <c r="A33" s="11">
        <f t="shared" si="0"/>
        <v>31</v>
      </c>
      <c r="B33" s="50" t="s">
        <v>355</v>
      </c>
      <c r="C33" s="51" t="s">
        <v>356</v>
      </c>
      <c r="D33" s="51" t="s">
        <v>357</v>
      </c>
      <c r="E33" s="52"/>
      <c r="F33" s="50" t="s">
        <v>35</v>
      </c>
      <c r="G33" s="50" t="s">
        <v>99</v>
      </c>
      <c r="H33" s="53">
        <v>24517</v>
      </c>
      <c r="I33" s="50" t="s">
        <v>358</v>
      </c>
      <c r="J33" s="50" t="s">
        <v>359</v>
      </c>
      <c r="K33" s="50" t="s">
        <v>231</v>
      </c>
      <c r="L33" s="50" t="s">
        <v>41</v>
      </c>
      <c r="M33" s="54" t="s">
        <v>360</v>
      </c>
      <c r="N33" s="55"/>
      <c r="O33" s="56"/>
      <c r="P33" s="55"/>
      <c r="Q33" s="56"/>
      <c r="R33" s="56"/>
      <c r="S33" s="57"/>
      <c r="T33" s="50" t="s">
        <v>361</v>
      </c>
      <c r="U33" s="4"/>
      <c r="V33" s="4"/>
      <c r="W33" s="4"/>
      <c r="X33" s="4"/>
      <c r="Y33" s="4"/>
      <c r="Z33" s="4"/>
    </row>
    <row r="34" ht="13.5" customHeight="1" spans="1:26">
      <c r="A34" s="11">
        <f t="shared" si="0"/>
        <v>32</v>
      </c>
      <c r="B34" s="17" t="s">
        <v>362</v>
      </c>
      <c r="C34" s="17" t="s">
        <v>363</v>
      </c>
      <c r="D34" s="17" t="s">
        <v>364</v>
      </c>
      <c r="E34" s="23"/>
      <c r="F34" s="17" t="s">
        <v>24</v>
      </c>
      <c r="G34" s="17" t="s">
        <v>36</v>
      </c>
      <c r="H34" s="24">
        <v>37613</v>
      </c>
      <c r="I34" s="17" t="s">
        <v>365</v>
      </c>
      <c r="J34" s="17" t="s">
        <v>366</v>
      </c>
      <c r="K34" s="17" t="s">
        <v>137</v>
      </c>
      <c r="L34" s="17" t="s">
        <v>41</v>
      </c>
      <c r="M34" s="21" t="s">
        <v>367</v>
      </c>
      <c r="N34" s="21" t="s">
        <v>368</v>
      </c>
      <c r="O34" s="23"/>
      <c r="P34" s="17" t="s">
        <v>369</v>
      </c>
      <c r="Q34" s="17" t="s">
        <v>370</v>
      </c>
      <c r="R34" s="17" t="s">
        <v>371</v>
      </c>
      <c r="S34" s="17" t="s">
        <v>372</v>
      </c>
      <c r="T34" s="17"/>
      <c r="U34" s="4"/>
      <c r="V34" s="4"/>
      <c r="W34" s="4"/>
      <c r="X34" s="4"/>
      <c r="Y34" s="4"/>
      <c r="Z34" s="4"/>
    </row>
    <row r="35" ht="13.5" customHeight="1" spans="1:26">
      <c r="A35" s="11">
        <f t="shared" si="0"/>
        <v>33</v>
      </c>
      <c r="B35" s="17" t="s">
        <v>373</v>
      </c>
      <c r="C35" s="17" t="s">
        <v>374</v>
      </c>
      <c r="D35" s="17" t="s">
        <v>375</v>
      </c>
      <c r="E35" s="17"/>
      <c r="F35" s="17" t="s">
        <v>24</v>
      </c>
      <c r="G35" s="17" t="s">
        <v>99</v>
      </c>
      <c r="H35" s="24">
        <v>29007</v>
      </c>
      <c r="I35" s="17" t="s">
        <v>376</v>
      </c>
      <c r="J35" s="17" t="s">
        <v>377</v>
      </c>
      <c r="K35" s="17" t="s">
        <v>0</v>
      </c>
      <c r="L35" s="17" t="s">
        <v>41</v>
      </c>
      <c r="M35" s="76" t="s">
        <v>378</v>
      </c>
      <c r="N35" s="21" t="s">
        <v>379</v>
      </c>
      <c r="O35" s="17"/>
      <c r="P35" s="17" t="s">
        <v>380</v>
      </c>
      <c r="Q35" s="23" t="s">
        <v>381</v>
      </c>
      <c r="R35" s="23" t="s">
        <v>382</v>
      </c>
      <c r="S35" s="17" t="s">
        <v>383</v>
      </c>
      <c r="T35" s="17"/>
      <c r="U35" s="4"/>
      <c r="V35" s="4"/>
      <c r="W35" s="4"/>
      <c r="X35" s="4"/>
      <c r="Y35" s="4"/>
      <c r="Z35" s="4"/>
    </row>
    <row r="36" ht="13.5" customHeight="1" spans="1:26">
      <c r="A36" s="11">
        <f t="shared" si="0"/>
        <v>34</v>
      </c>
      <c r="B36" s="17" t="s">
        <v>384</v>
      </c>
      <c r="C36" s="17" t="s">
        <v>385</v>
      </c>
      <c r="D36" s="17" t="s">
        <v>386</v>
      </c>
      <c r="E36" s="23"/>
      <c r="F36" s="17" t="s">
        <v>24</v>
      </c>
      <c r="G36" s="17" t="s">
        <v>36</v>
      </c>
      <c r="H36" s="24">
        <v>35000</v>
      </c>
      <c r="I36" s="17" t="s">
        <v>387</v>
      </c>
      <c r="J36" s="17" t="s">
        <v>388</v>
      </c>
      <c r="K36" s="17" t="s">
        <v>389</v>
      </c>
      <c r="L36" s="17" t="s">
        <v>41</v>
      </c>
      <c r="M36" s="21" t="s">
        <v>390</v>
      </c>
      <c r="N36" s="21" t="s">
        <v>391</v>
      </c>
      <c r="O36" s="23"/>
      <c r="P36" s="17" t="s">
        <v>392</v>
      </c>
      <c r="Q36" s="17" t="s">
        <v>393</v>
      </c>
      <c r="R36" s="17" t="s">
        <v>394</v>
      </c>
      <c r="S36" s="17" t="s">
        <v>395</v>
      </c>
      <c r="T36" s="17"/>
      <c r="U36" s="4"/>
      <c r="V36" s="4"/>
      <c r="W36" s="4"/>
      <c r="X36" s="4"/>
      <c r="Y36" s="4"/>
      <c r="Z36" s="4"/>
    </row>
    <row r="37" ht="13.5" customHeight="1" spans="1:26">
      <c r="A37" s="11">
        <f t="shared" si="0"/>
        <v>35</v>
      </c>
      <c r="B37" s="17" t="s">
        <v>396</v>
      </c>
      <c r="C37" s="17" t="s">
        <v>397</v>
      </c>
      <c r="D37" s="17" t="s">
        <v>398</v>
      </c>
      <c r="E37" s="23"/>
      <c r="F37" s="17" t="s">
        <v>24</v>
      </c>
      <c r="G37" s="17" t="s">
        <v>99</v>
      </c>
      <c r="H37" s="24">
        <v>33774</v>
      </c>
      <c r="I37" s="17" t="s">
        <v>399</v>
      </c>
      <c r="J37" s="17" t="s">
        <v>400</v>
      </c>
      <c r="K37" s="17" t="s">
        <v>401</v>
      </c>
      <c r="L37" s="17" t="s">
        <v>41</v>
      </c>
      <c r="M37" s="21" t="s">
        <v>402</v>
      </c>
      <c r="N37" s="21" t="s">
        <v>403</v>
      </c>
      <c r="O37" s="23"/>
      <c r="P37" s="17" t="s">
        <v>404</v>
      </c>
      <c r="Q37" s="17" t="s">
        <v>405</v>
      </c>
      <c r="R37" s="17" t="s">
        <v>406</v>
      </c>
      <c r="S37" s="58" t="s">
        <v>407</v>
      </c>
      <c r="T37" s="49" t="s">
        <v>408</v>
      </c>
      <c r="U37" s="4"/>
      <c r="V37" s="4"/>
      <c r="W37" s="4"/>
      <c r="X37" s="4"/>
      <c r="Y37" s="4"/>
      <c r="Z37" s="4"/>
    </row>
    <row r="38" ht="13.5" customHeight="1" spans="1:26">
      <c r="A38" s="11">
        <f t="shared" si="0"/>
        <v>36</v>
      </c>
      <c r="B38" s="17" t="s">
        <v>409</v>
      </c>
      <c r="C38" s="17" t="s">
        <v>410</v>
      </c>
      <c r="D38" s="17" t="s">
        <v>411</v>
      </c>
      <c r="E38" s="23"/>
      <c r="F38" s="17" t="s">
        <v>35</v>
      </c>
      <c r="G38" s="17" t="s">
        <v>36</v>
      </c>
      <c r="H38" s="24">
        <v>29453</v>
      </c>
      <c r="I38" s="17" t="s">
        <v>412</v>
      </c>
      <c r="J38" s="17" t="s">
        <v>125</v>
      </c>
      <c r="K38" s="17" t="s">
        <v>126</v>
      </c>
      <c r="L38" s="17" t="s">
        <v>41</v>
      </c>
      <c r="M38" s="21" t="s">
        <v>413</v>
      </c>
      <c r="N38" s="21"/>
      <c r="O38" s="23"/>
      <c r="P38" s="17" t="s">
        <v>414</v>
      </c>
      <c r="Q38" s="17" t="s">
        <v>415</v>
      </c>
      <c r="R38" s="17" t="s">
        <v>416</v>
      </c>
      <c r="S38" s="17" t="s">
        <v>417</v>
      </c>
      <c r="T38" s="17" t="s">
        <v>58</v>
      </c>
      <c r="U38" s="4"/>
      <c r="V38" s="4"/>
      <c r="W38" s="4"/>
      <c r="X38" s="4"/>
      <c r="Y38" s="4"/>
      <c r="Z38" s="4"/>
    </row>
    <row r="39" ht="13.5" customHeight="1" spans="1:26">
      <c r="A39" s="11">
        <f t="shared" si="0"/>
        <v>37</v>
      </c>
      <c r="B39" s="17" t="s">
        <v>418</v>
      </c>
      <c r="C39" s="17" t="s">
        <v>419</v>
      </c>
      <c r="D39" s="17" t="s">
        <v>420</v>
      </c>
      <c r="E39" s="23"/>
      <c r="F39" s="17" t="s">
        <v>24</v>
      </c>
      <c r="G39" s="17" t="s">
        <v>36</v>
      </c>
      <c r="H39" s="24">
        <v>34414</v>
      </c>
      <c r="I39" s="17" t="s">
        <v>421</v>
      </c>
      <c r="J39" s="17" t="s">
        <v>422</v>
      </c>
      <c r="K39" s="17" t="s">
        <v>231</v>
      </c>
      <c r="L39" s="17" t="s">
        <v>41</v>
      </c>
      <c r="M39" s="21" t="s">
        <v>423</v>
      </c>
      <c r="N39" s="21" t="s">
        <v>424</v>
      </c>
      <c r="O39" s="23"/>
      <c r="P39" s="17" t="s">
        <v>425</v>
      </c>
      <c r="Q39" s="17" t="s">
        <v>426</v>
      </c>
      <c r="R39" s="17" t="s">
        <v>427</v>
      </c>
      <c r="S39" s="17" t="s">
        <v>428</v>
      </c>
      <c r="T39" s="17" t="s">
        <v>58</v>
      </c>
      <c r="U39" s="4"/>
      <c r="V39" s="4"/>
      <c r="W39" s="4"/>
      <c r="X39" s="4"/>
      <c r="Y39" s="4"/>
      <c r="Z39" s="4"/>
    </row>
    <row r="40" ht="13.5" customHeight="1" spans="1:26">
      <c r="A40" s="11">
        <f t="shared" si="0"/>
        <v>38</v>
      </c>
      <c r="B40" s="17" t="s">
        <v>418</v>
      </c>
      <c r="C40" s="17" t="s">
        <v>429</v>
      </c>
      <c r="D40" s="17" t="s">
        <v>430</v>
      </c>
      <c r="E40" s="23"/>
      <c r="F40" s="17" t="s">
        <v>35</v>
      </c>
      <c r="G40" s="18" t="s">
        <v>99</v>
      </c>
      <c r="H40" s="24">
        <v>24646</v>
      </c>
      <c r="I40" s="20" t="s">
        <v>431</v>
      </c>
      <c r="J40" s="17" t="s">
        <v>125</v>
      </c>
      <c r="K40" s="17" t="s">
        <v>144</v>
      </c>
      <c r="L40" s="17" t="s">
        <v>41</v>
      </c>
      <c r="M40" s="21" t="s">
        <v>432</v>
      </c>
      <c r="N40" s="21" t="s">
        <v>433</v>
      </c>
      <c r="O40" s="23"/>
      <c r="P40" s="17" t="s">
        <v>434</v>
      </c>
      <c r="Q40" s="17" t="s">
        <v>435</v>
      </c>
      <c r="R40" s="17" t="s">
        <v>436</v>
      </c>
      <c r="S40" s="17" t="s">
        <v>437</v>
      </c>
      <c r="T40" s="17" t="s">
        <v>58</v>
      </c>
      <c r="U40" s="4"/>
      <c r="V40" s="4"/>
      <c r="W40" s="4"/>
      <c r="X40" s="4"/>
      <c r="Y40" s="4"/>
      <c r="Z40" s="4"/>
    </row>
    <row r="41" ht="13.5" customHeight="1" spans="1:26">
      <c r="A41" s="11">
        <f t="shared" si="0"/>
        <v>39</v>
      </c>
      <c r="B41" s="17" t="s">
        <v>438</v>
      </c>
      <c r="C41" s="17" t="s">
        <v>439</v>
      </c>
      <c r="D41" s="17" t="s">
        <v>440</v>
      </c>
      <c r="E41" s="23"/>
      <c r="F41" s="17" t="s">
        <v>35</v>
      </c>
      <c r="G41" s="17" t="s">
        <v>36</v>
      </c>
      <c r="H41" s="24">
        <v>26655</v>
      </c>
      <c r="I41" s="17">
        <v>9161318621</v>
      </c>
      <c r="J41" s="17" t="s">
        <v>51</v>
      </c>
      <c r="K41" s="17" t="s">
        <v>126</v>
      </c>
      <c r="L41" s="17" t="s">
        <v>41</v>
      </c>
      <c r="M41" s="21" t="s">
        <v>441</v>
      </c>
      <c r="N41" s="21" t="s">
        <v>442</v>
      </c>
      <c r="O41" s="23"/>
      <c r="P41" s="17" t="s">
        <v>443</v>
      </c>
      <c r="Q41" s="17" t="s">
        <v>444</v>
      </c>
      <c r="R41" s="17" t="s">
        <v>445</v>
      </c>
      <c r="S41" s="17" t="s">
        <v>446</v>
      </c>
      <c r="T41" s="17" t="s">
        <v>58</v>
      </c>
      <c r="U41" s="4"/>
      <c r="V41" s="4"/>
      <c r="W41" s="4"/>
      <c r="X41" s="4"/>
      <c r="Y41" s="4"/>
      <c r="Z41" s="4"/>
    </row>
    <row r="42" ht="13.5" customHeight="1" spans="1:26">
      <c r="A42" s="11">
        <f t="shared" si="0"/>
        <v>40</v>
      </c>
      <c r="B42" s="17" t="s">
        <v>447</v>
      </c>
      <c r="C42" s="17" t="s">
        <v>448</v>
      </c>
      <c r="D42" s="17" t="s">
        <v>449</v>
      </c>
      <c r="E42" s="23"/>
      <c r="F42" s="17" t="s">
        <v>35</v>
      </c>
      <c r="G42" s="17" t="s">
        <v>36</v>
      </c>
      <c r="H42" s="24">
        <v>34457</v>
      </c>
      <c r="I42" s="17">
        <v>9066823835</v>
      </c>
      <c r="J42" s="17" t="s">
        <v>450</v>
      </c>
      <c r="K42" s="17" t="s">
        <v>231</v>
      </c>
      <c r="L42" s="17" t="s">
        <v>41</v>
      </c>
      <c r="M42" s="21" t="s">
        <v>451</v>
      </c>
      <c r="N42" s="21" t="s">
        <v>452</v>
      </c>
      <c r="O42" s="23"/>
      <c r="P42" s="17" t="s">
        <v>453</v>
      </c>
      <c r="Q42" s="28" t="s">
        <v>272</v>
      </c>
      <c r="R42" s="17" t="s">
        <v>454</v>
      </c>
      <c r="S42" s="17" t="s">
        <v>455</v>
      </c>
      <c r="T42" s="17" t="s">
        <v>456</v>
      </c>
      <c r="U42" s="4"/>
      <c r="V42" s="4"/>
      <c r="W42" s="4"/>
      <c r="X42" s="4"/>
      <c r="Y42" s="4"/>
      <c r="Z42" s="4"/>
    </row>
    <row r="43" ht="13.5" customHeight="1" spans="1:26">
      <c r="A43" s="11">
        <f t="shared" si="0"/>
        <v>41</v>
      </c>
      <c r="B43" s="49" t="s">
        <v>457</v>
      </c>
      <c r="C43" s="58" t="s">
        <v>458</v>
      </c>
      <c r="D43" s="58" t="s">
        <v>459</v>
      </c>
      <c r="E43" s="59"/>
      <c r="F43" s="49" t="s">
        <v>35</v>
      </c>
      <c r="G43" s="49" t="s">
        <v>99</v>
      </c>
      <c r="H43" s="60">
        <v>29905</v>
      </c>
      <c r="I43" s="49">
        <v>9171330299</v>
      </c>
      <c r="J43" s="49" t="s">
        <v>460</v>
      </c>
      <c r="K43" s="49" t="s">
        <v>461</v>
      </c>
      <c r="L43" s="61" t="s">
        <v>41</v>
      </c>
      <c r="M43" s="62" t="s">
        <v>462</v>
      </c>
      <c r="N43" s="62"/>
      <c r="O43" s="63"/>
      <c r="P43" s="49" t="s">
        <v>463</v>
      </c>
      <c r="Q43" s="58" t="s">
        <v>464</v>
      </c>
      <c r="R43" s="49" t="s">
        <v>465</v>
      </c>
      <c r="S43" s="49" t="s">
        <v>466</v>
      </c>
      <c r="T43" s="49" t="s">
        <v>58</v>
      </c>
      <c r="U43" s="4"/>
      <c r="V43" s="4"/>
      <c r="W43" s="4"/>
      <c r="X43" s="4"/>
      <c r="Y43" s="4"/>
      <c r="Z43" s="4"/>
    </row>
    <row r="44" ht="14.25" customHeight="1" spans="1:26">
      <c r="A44" s="11">
        <f t="shared" si="0"/>
        <v>42</v>
      </c>
      <c r="B44" s="17" t="s">
        <v>467</v>
      </c>
      <c r="C44" s="17" t="s">
        <v>468</v>
      </c>
      <c r="D44" s="17" t="s">
        <v>469</v>
      </c>
      <c r="E44" s="23"/>
      <c r="F44" s="17" t="s">
        <v>35</v>
      </c>
      <c r="G44" s="17" t="s">
        <v>99</v>
      </c>
      <c r="H44" s="24">
        <v>27351</v>
      </c>
      <c r="I44" s="17">
        <v>9959328286</v>
      </c>
      <c r="J44" s="17" t="s">
        <v>470</v>
      </c>
      <c r="K44" s="17" t="s">
        <v>144</v>
      </c>
      <c r="L44" s="17"/>
      <c r="M44" s="21" t="s">
        <v>471</v>
      </c>
      <c r="N44" s="21"/>
      <c r="O44" s="23"/>
      <c r="P44" s="17" t="s">
        <v>472</v>
      </c>
      <c r="Q44" s="17" t="s">
        <v>473</v>
      </c>
      <c r="R44" s="17" t="s">
        <v>474</v>
      </c>
      <c r="S44" s="17" t="s">
        <v>475</v>
      </c>
      <c r="T44" s="17"/>
      <c r="U44" s="17"/>
      <c r="V44" s="17"/>
      <c r="W44" s="17"/>
      <c r="X44" s="17"/>
      <c r="Y44" s="17"/>
      <c r="Z44" s="17"/>
    </row>
    <row r="45" ht="12.75" customHeight="1" spans="1:26">
      <c r="A45" s="11">
        <f t="shared" si="0"/>
        <v>43</v>
      </c>
      <c r="B45" s="64" t="s">
        <v>430</v>
      </c>
      <c r="C45" s="64" t="s">
        <v>476</v>
      </c>
      <c r="D45" s="64" t="s">
        <v>477</v>
      </c>
      <c r="E45" s="65"/>
      <c r="F45" s="64" t="s">
        <v>24</v>
      </c>
      <c r="G45" s="64" t="s">
        <v>99</v>
      </c>
      <c r="H45" s="66">
        <v>28478</v>
      </c>
      <c r="I45" s="64" t="s">
        <v>478</v>
      </c>
      <c r="J45" s="64" t="s">
        <v>479</v>
      </c>
      <c r="K45" s="64" t="s">
        <v>480</v>
      </c>
      <c r="L45" s="64" t="s">
        <v>41</v>
      </c>
      <c r="M45" s="67" t="s">
        <v>481</v>
      </c>
      <c r="N45" s="67"/>
      <c r="O45" s="65"/>
      <c r="P45" s="64" t="s">
        <v>482</v>
      </c>
      <c r="Q45" s="65" t="s">
        <v>483</v>
      </c>
      <c r="R45" s="65" t="s">
        <v>484</v>
      </c>
      <c r="S45" s="68" t="s">
        <v>272</v>
      </c>
      <c r="T45" s="64"/>
      <c r="U45" s="17"/>
      <c r="V45" s="17"/>
      <c r="W45" s="17"/>
      <c r="X45" s="17"/>
      <c r="Y45" s="17"/>
      <c r="Z45" s="17"/>
    </row>
    <row r="46" ht="12.75" customHeight="1" spans="1:26">
      <c r="A46" s="11">
        <f t="shared" si="0"/>
        <v>44</v>
      </c>
      <c r="B46" s="64" t="s">
        <v>430</v>
      </c>
      <c r="C46" s="64" t="s">
        <v>485</v>
      </c>
      <c r="D46" s="64" t="s">
        <v>184</v>
      </c>
      <c r="E46" s="65"/>
      <c r="F46" s="64" t="s">
        <v>35</v>
      </c>
      <c r="G46" s="64" t="s">
        <v>99</v>
      </c>
      <c r="H46" s="66">
        <v>27892</v>
      </c>
      <c r="I46" s="64">
        <v>9178095502</v>
      </c>
      <c r="J46" s="64" t="s">
        <v>486</v>
      </c>
      <c r="K46" s="64" t="s">
        <v>487</v>
      </c>
      <c r="L46" s="64"/>
      <c r="M46" s="67"/>
      <c r="N46" s="67"/>
      <c r="O46" s="65"/>
      <c r="P46" s="64" t="s">
        <v>488</v>
      </c>
      <c r="Q46" s="65" t="s">
        <v>489</v>
      </c>
      <c r="R46" s="80" t="s">
        <v>490</v>
      </c>
      <c r="S46" s="68" t="s">
        <v>272</v>
      </c>
      <c r="T46" s="64"/>
      <c r="U46" s="17"/>
      <c r="V46" s="17"/>
      <c r="W46" s="17"/>
      <c r="X46" s="17"/>
      <c r="Y46" s="17"/>
      <c r="Z46" s="17"/>
    </row>
    <row r="47" ht="12.75" customHeight="1" spans="1:26">
      <c r="A47" s="11">
        <f t="shared" si="0"/>
        <v>45</v>
      </c>
      <c r="B47" s="17" t="s">
        <v>491</v>
      </c>
      <c r="C47" s="17" t="s">
        <v>492</v>
      </c>
      <c r="D47" s="17" t="s">
        <v>493</v>
      </c>
      <c r="E47" s="23"/>
      <c r="F47" s="17" t="s">
        <v>24</v>
      </c>
      <c r="G47" s="17" t="s">
        <v>36</v>
      </c>
      <c r="H47" s="24">
        <v>33798</v>
      </c>
      <c r="I47" s="17">
        <v>9364783747</v>
      </c>
      <c r="J47" s="17" t="s">
        <v>494</v>
      </c>
      <c r="K47" s="17" t="s">
        <v>248</v>
      </c>
      <c r="L47" s="17" t="s">
        <v>41</v>
      </c>
      <c r="M47" s="21" t="s">
        <v>495</v>
      </c>
      <c r="N47" s="21" t="s">
        <v>496</v>
      </c>
      <c r="O47" s="23"/>
      <c r="P47" s="17" t="s">
        <v>497</v>
      </c>
      <c r="Q47" s="17" t="s">
        <v>498</v>
      </c>
      <c r="R47" s="17" t="s">
        <v>499</v>
      </c>
      <c r="S47" s="17" t="s">
        <v>500</v>
      </c>
      <c r="T47" s="17" t="s">
        <v>58</v>
      </c>
      <c r="U47" s="17"/>
      <c r="V47" s="17"/>
      <c r="W47" s="17"/>
      <c r="X47" s="17"/>
      <c r="Y47" s="17"/>
      <c r="Z47" s="17"/>
    </row>
    <row r="48" ht="12.75" customHeight="1" spans="1:26">
      <c r="A48" s="11">
        <f t="shared" si="0"/>
        <v>46</v>
      </c>
      <c r="B48" s="17" t="s">
        <v>501</v>
      </c>
      <c r="C48" s="17" t="s">
        <v>502</v>
      </c>
      <c r="D48" s="17" t="s">
        <v>503</v>
      </c>
      <c r="E48" s="23"/>
      <c r="F48" s="17" t="s">
        <v>35</v>
      </c>
      <c r="G48" s="17" t="s">
        <v>36</v>
      </c>
      <c r="H48" s="36" t="s">
        <v>504</v>
      </c>
      <c r="I48" s="17">
        <v>9305152727</v>
      </c>
      <c r="J48" s="17" t="s">
        <v>505</v>
      </c>
      <c r="K48" s="17" t="s">
        <v>144</v>
      </c>
      <c r="L48" s="17" t="s">
        <v>221</v>
      </c>
      <c r="M48" s="21" t="s">
        <v>506</v>
      </c>
      <c r="N48" s="21" t="s">
        <v>507</v>
      </c>
      <c r="O48" s="23"/>
      <c r="P48" s="17" t="s">
        <v>508</v>
      </c>
      <c r="Q48" s="17" t="s">
        <v>509</v>
      </c>
      <c r="R48" s="17" t="s">
        <v>510</v>
      </c>
      <c r="S48" s="23" t="s">
        <v>511</v>
      </c>
      <c r="T48" s="17" t="s">
        <v>512</v>
      </c>
      <c r="U48" s="17"/>
      <c r="V48" s="17"/>
      <c r="W48" s="17"/>
      <c r="X48" s="17"/>
      <c r="Y48" s="17"/>
      <c r="Z48" s="17"/>
    </row>
    <row r="49" ht="12.75" customHeight="1" spans="1:26">
      <c r="A49" s="11">
        <f t="shared" si="0"/>
        <v>47</v>
      </c>
      <c r="B49" s="17" t="s">
        <v>513</v>
      </c>
      <c r="C49" s="17" t="s">
        <v>514</v>
      </c>
      <c r="D49" s="17" t="s">
        <v>515</v>
      </c>
      <c r="E49" s="23" t="s">
        <v>308</v>
      </c>
      <c r="F49" s="17" t="s">
        <v>35</v>
      </c>
      <c r="G49" s="17" t="s">
        <v>36</v>
      </c>
      <c r="H49" s="24">
        <v>36542</v>
      </c>
      <c r="I49" s="17">
        <v>9677725911</v>
      </c>
      <c r="J49" s="17" t="s">
        <v>516</v>
      </c>
      <c r="K49" s="17" t="s">
        <v>517</v>
      </c>
      <c r="L49" s="17" t="s">
        <v>41</v>
      </c>
      <c r="M49" s="21" t="s">
        <v>518</v>
      </c>
      <c r="N49" s="21" t="s">
        <v>519</v>
      </c>
      <c r="O49" s="23"/>
      <c r="P49" s="17" t="s">
        <v>520</v>
      </c>
      <c r="Q49" s="17" t="s">
        <v>521</v>
      </c>
      <c r="R49" s="17" t="s">
        <v>522</v>
      </c>
      <c r="S49" s="17" t="s">
        <v>523</v>
      </c>
      <c r="T49" s="17" t="s">
        <v>524</v>
      </c>
      <c r="U49" s="17"/>
      <c r="V49" s="17"/>
      <c r="W49" s="17"/>
      <c r="X49" s="17"/>
      <c r="Y49" s="17"/>
      <c r="Z49" s="17"/>
    </row>
    <row r="50" ht="12.75" customHeight="1" spans="1:26">
      <c r="A50" s="11">
        <f t="shared" si="0"/>
        <v>48</v>
      </c>
      <c r="B50" s="17" t="s">
        <v>525</v>
      </c>
      <c r="C50" s="17" t="s">
        <v>526</v>
      </c>
      <c r="D50" s="17" t="s">
        <v>527</v>
      </c>
      <c r="E50" s="23"/>
      <c r="F50" s="17" t="s">
        <v>24</v>
      </c>
      <c r="G50" s="17" t="s">
        <v>36</v>
      </c>
      <c r="H50" s="24">
        <v>32769</v>
      </c>
      <c r="I50" s="17">
        <v>9567957825</v>
      </c>
      <c r="J50" s="17" t="s">
        <v>528</v>
      </c>
      <c r="K50" s="17" t="s">
        <v>248</v>
      </c>
      <c r="L50" s="17" t="s">
        <v>41</v>
      </c>
      <c r="M50" s="21" t="s">
        <v>529</v>
      </c>
      <c r="N50" s="21" t="s">
        <v>530</v>
      </c>
      <c r="O50" s="23"/>
      <c r="P50" s="17" t="s">
        <v>531</v>
      </c>
      <c r="Q50" s="17" t="s">
        <v>532</v>
      </c>
      <c r="R50" s="17" t="s">
        <v>533</v>
      </c>
      <c r="S50" s="17" t="s">
        <v>534</v>
      </c>
      <c r="T50" s="4" t="s">
        <v>535</v>
      </c>
      <c r="U50" s="30"/>
      <c r="V50" s="4"/>
      <c r="W50" s="4"/>
      <c r="X50" s="4"/>
      <c r="Y50" s="4"/>
      <c r="Z50" s="4"/>
    </row>
    <row r="51" ht="12.75" customHeight="1" spans="1:26">
      <c r="A51" s="11">
        <f t="shared" si="0"/>
        <v>49</v>
      </c>
      <c r="B51" s="17" t="s">
        <v>536</v>
      </c>
      <c r="C51" s="17" t="s">
        <v>537</v>
      </c>
      <c r="D51" s="17" t="s">
        <v>538</v>
      </c>
      <c r="E51" s="23"/>
      <c r="F51" s="17" t="s">
        <v>24</v>
      </c>
      <c r="G51" s="17" t="s">
        <v>99</v>
      </c>
      <c r="H51" s="24">
        <v>30056</v>
      </c>
      <c r="I51" s="17">
        <v>9658510505</v>
      </c>
      <c r="J51" s="17" t="s">
        <v>539</v>
      </c>
      <c r="K51" s="17" t="s">
        <v>540</v>
      </c>
      <c r="L51" s="17" t="s">
        <v>80</v>
      </c>
      <c r="M51" s="21" t="s">
        <v>541</v>
      </c>
      <c r="N51" s="21" t="s">
        <v>542</v>
      </c>
      <c r="O51" s="23"/>
      <c r="P51" s="17" t="s">
        <v>543</v>
      </c>
      <c r="Q51" s="28" t="s">
        <v>272</v>
      </c>
      <c r="R51" s="17" t="s">
        <v>544</v>
      </c>
      <c r="S51" s="23" t="s">
        <v>545</v>
      </c>
      <c r="T51" s="17" t="s">
        <v>408</v>
      </c>
      <c r="U51" s="17"/>
      <c r="V51" s="69"/>
      <c r="W51" s="69"/>
      <c r="X51" s="69"/>
      <c r="Y51" s="69"/>
      <c r="Z51" s="69"/>
    </row>
    <row r="52" ht="12.75" customHeight="1" spans="1:26">
      <c r="A52" s="4"/>
      <c r="B52" s="4"/>
      <c r="C52" s="4"/>
      <c r="D52" s="4"/>
      <c r="E52" s="4"/>
      <c r="F52" s="4"/>
      <c r="G52" s="4"/>
      <c r="H52" s="10"/>
      <c r="I52" s="4"/>
      <c r="J52" s="4"/>
      <c r="K52" s="4"/>
      <c r="L52" s="4"/>
      <c r="M52" s="70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 spans="1:26">
      <c r="A53" s="4"/>
      <c r="B53" s="4"/>
      <c r="C53" s="4"/>
      <c r="D53" s="4"/>
      <c r="E53" s="4"/>
      <c r="F53" s="4"/>
      <c r="G53" s="4"/>
      <c r="H53" s="10"/>
      <c r="I53" s="4"/>
      <c r="J53" s="4"/>
      <c r="K53" s="4"/>
      <c r="L53" s="4"/>
      <c r="M53" s="70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 spans="1:26">
      <c r="A54" s="4"/>
      <c r="B54" s="4"/>
      <c r="C54" s="4"/>
      <c r="D54" s="71"/>
      <c r="E54" s="4"/>
      <c r="F54" s="4"/>
      <c r="G54" s="4"/>
      <c r="H54" s="10"/>
      <c r="I54" s="4"/>
      <c r="J54" s="4"/>
      <c r="K54" s="4"/>
      <c r="L54" s="4"/>
      <c r="M54" s="70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 spans="1:26">
      <c r="A55" s="4"/>
      <c r="B55" s="4"/>
      <c r="C55" s="4"/>
      <c r="D55" s="71"/>
      <c r="E55" s="4"/>
      <c r="F55" s="4"/>
      <c r="G55" s="4"/>
      <c r="H55" s="10"/>
      <c r="I55" s="4"/>
      <c r="J55" s="4"/>
      <c r="K55" s="4"/>
      <c r="L55" s="4"/>
      <c r="M55" s="70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 spans="1:26">
      <c r="A56" s="4"/>
      <c r="B56" s="4"/>
      <c r="C56" s="4"/>
      <c r="D56" s="4"/>
      <c r="E56" s="4"/>
      <c r="F56" s="4"/>
      <c r="G56" s="4"/>
      <c r="H56" s="10"/>
      <c r="I56" s="4"/>
      <c r="J56" s="4"/>
      <c r="K56" s="4"/>
      <c r="L56" s="4"/>
      <c r="M56" s="70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 spans="1:26">
      <c r="A57" s="4"/>
      <c r="B57" s="4"/>
      <c r="C57" s="4"/>
      <c r="D57" s="4"/>
      <c r="E57" s="4"/>
      <c r="F57" s="4"/>
      <c r="G57" s="4"/>
      <c r="H57" s="10"/>
      <c r="I57" s="4"/>
      <c r="J57" s="4"/>
      <c r="K57" s="4"/>
      <c r="L57" s="4"/>
      <c r="M57" s="70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 spans="1:26">
      <c r="A58" s="4"/>
      <c r="B58" s="4"/>
      <c r="C58" s="4"/>
      <c r="D58" s="4"/>
      <c r="E58" s="4"/>
      <c r="F58" s="4"/>
      <c r="G58" s="4"/>
      <c r="H58" s="10"/>
      <c r="I58" s="4"/>
      <c r="J58" s="4"/>
      <c r="K58" s="4"/>
      <c r="L58" s="4"/>
      <c r="M58" s="70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 spans="1:26">
      <c r="A59" s="4"/>
      <c r="B59" s="4"/>
      <c r="C59" s="4"/>
      <c r="D59" s="4"/>
      <c r="E59" s="4"/>
      <c r="F59" s="4"/>
      <c r="G59" s="4"/>
      <c r="H59" s="10"/>
      <c r="I59" s="4"/>
      <c r="J59" s="4"/>
      <c r="K59" s="4"/>
      <c r="L59" s="4"/>
      <c r="M59" s="70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 spans="1:26">
      <c r="A60" s="4"/>
      <c r="B60" s="4"/>
      <c r="C60" s="4"/>
      <c r="D60" s="4"/>
      <c r="E60" s="4"/>
      <c r="F60" s="4"/>
      <c r="G60" s="4"/>
      <c r="H60" s="10"/>
      <c r="I60" s="4"/>
      <c r="J60" s="4"/>
      <c r="K60" s="4"/>
      <c r="L60" s="4"/>
      <c r="M60" s="70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 spans="1:26">
      <c r="A61" s="4"/>
      <c r="B61" s="4"/>
      <c r="C61" s="4"/>
      <c r="D61" s="4"/>
      <c r="E61" s="4"/>
      <c r="F61" s="4"/>
      <c r="G61" s="4"/>
      <c r="H61" s="10"/>
      <c r="I61" s="4"/>
      <c r="J61" s="4"/>
      <c r="K61" s="4"/>
      <c r="L61" s="4"/>
      <c r="M61" s="70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 spans="1:26">
      <c r="A62" s="4"/>
      <c r="B62" s="4"/>
      <c r="C62" s="4"/>
      <c r="D62" s="4"/>
      <c r="E62" s="4"/>
      <c r="F62" s="4"/>
      <c r="G62" s="4"/>
      <c r="H62" s="10"/>
      <c r="I62" s="4"/>
      <c r="J62" s="4"/>
      <c r="K62" s="4"/>
      <c r="L62" s="4"/>
      <c r="M62" s="70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 spans="1:26">
      <c r="A63" s="4"/>
      <c r="B63" s="4"/>
      <c r="C63" s="4"/>
      <c r="D63" s="4"/>
      <c r="E63" s="4"/>
      <c r="F63" s="4"/>
      <c r="G63" s="4"/>
      <c r="H63" s="10"/>
      <c r="I63" s="4"/>
      <c r="J63" s="4"/>
      <c r="K63" s="4"/>
      <c r="L63" s="4"/>
      <c r="M63" s="70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 spans="1:26">
      <c r="A64" s="4"/>
      <c r="B64" s="4"/>
      <c r="C64" s="4"/>
      <c r="D64" s="4"/>
      <c r="E64" s="4"/>
      <c r="F64" s="4"/>
      <c r="G64" s="4"/>
      <c r="H64" s="10"/>
      <c r="I64" s="4"/>
      <c r="J64" s="4"/>
      <c r="K64" s="4"/>
      <c r="L64" s="4"/>
      <c r="M64" s="70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 spans="1:26">
      <c r="A65" s="4"/>
      <c r="B65" s="4"/>
      <c r="C65" s="4"/>
      <c r="D65" s="4"/>
      <c r="E65" s="4"/>
      <c r="F65" s="4"/>
      <c r="G65" s="4"/>
      <c r="H65" s="10"/>
      <c r="I65" s="4"/>
      <c r="J65" s="4"/>
      <c r="K65" s="4"/>
      <c r="L65" s="4"/>
      <c r="M65" s="70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 spans="1:26">
      <c r="A66" s="4"/>
      <c r="B66" s="4"/>
      <c r="C66" s="4"/>
      <c r="D66" s="4"/>
      <c r="E66" s="4"/>
      <c r="F66" s="4"/>
      <c r="G66" s="4"/>
      <c r="H66" s="10"/>
      <c r="I66" s="4"/>
      <c r="J66" s="4"/>
      <c r="K66" s="4"/>
      <c r="L66" s="4"/>
      <c r="M66" s="70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 spans="1:26">
      <c r="A67" s="4"/>
      <c r="B67" s="4"/>
      <c r="C67" s="4"/>
      <c r="D67" s="4"/>
      <c r="E67" s="4"/>
      <c r="F67" s="4"/>
      <c r="G67" s="4"/>
      <c r="H67" s="10"/>
      <c r="I67" s="4"/>
      <c r="J67" s="4"/>
      <c r="K67" s="4"/>
      <c r="L67" s="4"/>
      <c r="M67" s="70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 spans="1:26">
      <c r="A68" s="4"/>
      <c r="B68" s="4"/>
      <c r="C68" s="4"/>
      <c r="D68" s="4"/>
      <c r="E68" s="4"/>
      <c r="F68" s="4"/>
      <c r="G68" s="4"/>
      <c r="H68" s="10"/>
      <c r="I68" s="4"/>
      <c r="J68" s="4"/>
      <c r="K68" s="4"/>
      <c r="L68" s="4"/>
      <c r="M68" s="70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 spans="1:26">
      <c r="A69" s="4"/>
      <c r="B69" s="4"/>
      <c r="C69" s="4"/>
      <c r="D69" s="4"/>
      <c r="E69" s="4"/>
      <c r="F69" s="4"/>
      <c r="G69" s="4"/>
      <c r="H69" s="10"/>
      <c r="I69" s="4"/>
      <c r="J69" s="4"/>
      <c r="K69" s="4"/>
      <c r="L69" s="4"/>
      <c r="M69" s="70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 spans="1:26">
      <c r="A70" s="4"/>
      <c r="B70" s="4"/>
      <c r="C70" s="4"/>
      <c r="D70" s="4"/>
      <c r="E70" s="4"/>
      <c r="F70" s="4"/>
      <c r="G70" s="4"/>
      <c r="H70" s="10"/>
      <c r="I70" s="4"/>
      <c r="J70" s="4"/>
      <c r="K70" s="4"/>
      <c r="L70" s="4"/>
      <c r="M70" s="70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 spans="1:26">
      <c r="A71" s="4"/>
      <c r="B71" s="4"/>
      <c r="C71" s="4"/>
      <c r="D71" s="4"/>
      <c r="E71" s="4"/>
      <c r="F71" s="4"/>
      <c r="G71" s="4"/>
      <c r="H71" s="10"/>
      <c r="I71" s="4"/>
      <c r="J71" s="4"/>
      <c r="K71" s="4"/>
      <c r="L71" s="4"/>
      <c r="M71" s="70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 spans="1:26">
      <c r="A72" s="4"/>
      <c r="B72" s="4"/>
      <c r="C72" s="4"/>
      <c r="D72" s="4"/>
      <c r="E72" s="4"/>
      <c r="F72" s="4"/>
      <c r="G72" s="4"/>
      <c r="H72" s="10"/>
      <c r="I72" s="4"/>
      <c r="J72" s="4"/>
      <c r="K72" s="4"/>
      <c r="L72" s="4"/>
      <c r="M72" s="70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 spans="1:26">
      <c r="A73" s="4"/>
      <c r="B73" s="4"/>
      <c r="C73" s="4"/>
      <c r="D73" s="4"/>
      <c r="E73" s="4"/>
      <c r="F73" s="4"/>
      <c r="G73" s="4"/>
      <c r="H73" s="10"/>
      <c r="I73" s="4"/>
      <c r="J73" s="4"/>
      <c r="K73" s="4"/>
      <c r="L73" s="4"/>
      <c r="M73" s="70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 spans="1:26">
      <c r="A74" s="4"/>
      <c r="B74" s="4"/>
      <c r="C74" s="4"/>
      <c r="D74" s="4"/>
      <c r="E74" s="4"/>
      <c r="F74" s="4"/>
      <c r="G74" s="4"/>
      <c r="H74" s="10"/>
      <c r="I74" s="4"/>
      <c r="J74" s="4"/>
      <c r="K74" s="4"/>
      <c r="L74" s="4"/>
      <c r="M74" s="70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 spans="1:26">
      <c r="A75" s="4"/>
      <c r="B75" s="4"/>
      <c r="C75" s="4"/>
      <c r="D75" s="4"/>
      <c r="E75" s="4"/>
      <c r="F75" s="4"/>
      <c r="G75" s="4"/>
      <c r="H75" s="10"/>
      <c r="I75" s="4"/>
      <c r="J75" s="4"/>
      <c r="K75" s="4"/>
      <c r="L75" s="4"/>
      <c r="M75" s="70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 spans="1:26">
      <c r="A76" s="4"/>
      <c r="B76" s="4"/>
      <c r="C76" s="4"/>
      <c r="D76" s="4"/>
      <c r="E76" s="4"/>
      <c r="F76" s="4"/>
      <c r="G76" s="4"/>
      <c r="H76" s="10"/>
      <c r="I76" s="4"/>
      <c r="J76" s="4"/>
      <c r="K76" s="4"/>
      <c r="L76" s="4"/>
      <c r="M76" s="70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 spans="1:26">
      <c r="A77" s="4"/>
      <c r="B77" s="4"/>
      <c r="C77" s="4"/>
      <c r="D77" s="4"/>
      <c r="E77" s="4"/>
      <c r="F77" s="4"/>
      <c r="G77" s="4"/>
      <c r="H77" s="10"/>
      <c r="I77" s="4"/>
      <c r="J77" s="4"/>
      <c r="K77" s="4"/>
      <c r="L77" s="4"/>
      <c r="M77" s="70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 spans="1:26">
      <c r="A78" s="4"/>
      <c r="B78" s="4"/>
      <c r="C78" s="4"/>
      <c r="D78" s="4"/>
      <c r="E78" s="4"/>
      <c r="F78" s="4"/>
      <c r="G78" s="4"/>
      <c r="H78" s="10"/>
      <c r="I78" s="4"/>
      <c r="J78" s="4"/>
      <c r="K78" s="4"/>
      <c r="L78" s="4"/>
      <c r="M78" s="70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 spans="1:26">
      <c r="A79" s="4"/>
      <c r="B79" s="4"/>
      <c r="C79" s="4"/>
      <c r="D79" s="4"/>
      <c r="E79" s="4"/>
      <c r="F79" s="4"/>
      <c r="G79" s="4"/>
      <c r="H79" s="10"/>
      <c r="I79" s="4"/>
      <c r="J79" s="4"/>
      <c r="K79" s="4"/>
      <c r="L79" s="4"/>
      <c r="M79" s="70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 spans="1:26">
      <c r="A80" s="4"/>
      <c r="B80" s="4"/>
      <c r="C80" s="4"/>
      <c r="D80" s="4"/>
      <c r="E80" s="4"/>
      <c r="F80" s="4"/>
      <c r="G80" s="4"/>
      <c r="H80" s="10"/>
      <c r="I80" s="4"/>
      <c r="J80" s="4"/>
      <c r="K80" s="4"/>
      <c r="L80" s="4"/>
      <c r="M80" s="70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 spans="1:26">
      <c r="A81" s="4"/>
      <c r="B81" s="4"/>
      <c r="C81" s="4"/>
      <c r="D81" s="4"/>
      <c r="E81" s="4"/>
      <c r="F81" s="4"/>
      <c r="G81" s="4"/>
      <c r="H81" s="10"/>
      <c r="I81" s="4"/>
      <c r="J81" s="4"/>
      <c r="K81" s="4"/>
      <c r="L81" s="4"/>
      <c r="M81" s="70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 spans="1:26">
      <c r="A82" s="4"/>
      <c r="B82" s="4"/>
      <c r="C82" s="4"/>
      <c r="D82" s="4"/>
      <c r="E82" s="4"/>
      <c r="F82" s="4"/>
      <c r="G82" s="4"/>
      <c r="H82" s="10"/>
      <c r="I82" s="4"/>
      <c r="J82" s="4"/>
      <c r="K82" s="4"/>
      <c r="L82" s="4"/>
      <c r="M82" s="70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 spans="1:26">
      <c r="A83" s="4"/>
      <c r="B83" s="4"/>
      <c r="C83" s="4"/>
      <c r="D83" s="4"/>
      <c r="E83" s="4"/>
      <c r="F83" s="4"/>
      <c r="G83" s="4"/>
      <c r="H83" s="10"/>
      <c r="I83" s="4"/>
      <c r="J83" s="4"/>
      <c r="K83" s="4"/>
      <c r="L83" s="4"/>
      <c r="M83" s="70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 spans="1:26">
      <c r="A84" s="4"/>
      <c r="B84" s="4"/>
      <c r="C84" s="4"/>
      <c r="D84" s="4"/>
      <c r="E84" s="4"/>
      <c r="F84" s="4"/>
      <c r="G84" s="4"/>
      <c r="H84" s="10"/>
      <c r="I84" s="4"/>
      <c r="J84" s="4"/>
      <c r="K84" s="4"/>
      <c r="L84" s="4"/>
      <c r="M84" s="70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 spans="1:26">
      <c r="A85" s="4"/>
      <c r="B85" s="4"/>
      <c r="C85" s="4"/>
      <c r="D85" s="4"/>
      <c r="E85" s="4"/>
      <c r="F85" s="4"/>
      <c r="G85" s="4"/>
      <c r="H85" s="10"/>
      <c r="I85" s="4"/>
      <c r="J85" s="4"/>
      <c r="K85" s="4"/>
      <c r="L85" s="4"/>
      <c r="M85" s="70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 spans="1:26">
      <c r="A86" s="4"/>
      <c r="B86" s="4"/>
      <c r="C86" s="4"/>
      <c r="D86" s="4"/>
      <c r="E86" s="4"/>
      <c r="F86" s="4"/>
      <c r="G86" s="4"/>
      <c r="H86" s="10"/>
      <c r="I86" s="4"/>
      <c r="J86" s="4"/>
      <c r="K86" s="4"/>
      <c r="L86" s="4"/>
      <c r="M86" s="70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 spans="1:26">
      <c r="A87" s="4"/>
      <c r="B87" s="4"/>
      <c r="C87" s="4"/>
      <c r="D87" s="4"/>
      <c r="E87" s="4"/>
      <c r="F87" s="4"/>
      <c r="G87" s="4"/>
      <c r="H87" s="10"/>
      <c r="I87" s="4"/>
      <c r="J87" s="4"/>
      <c r="K87" s="4"/>
      <c r="L87" s="4"/>
      <c r="M87" s="70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 spans="1:26">
      <c r="A88" s="4"/>
      <c r="B88" s="4"/>
      <c r="C88" s="4"/>
      <c r="D88" s="4"/>
      <c r="E88" s="4"/>
      <c r="F88" s="4"/>
      <c r="G88" s="4"/>
      <c r="H88" s="10"/>
      <c r="I88" s="4"/>
      <c r="J88" s="4"/>
      <c r="K88" s="4"/>
      <c r="L88" s="4"/>
      <c r="M88" s="70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 spans="1:26">
      <c r="A89" s="4"/>
      <c r="B89" s="4"/>
      <c r="C89" s="4"/>
      <c r="D89" s="4"/>
      <c r="E89" s="4"/>
      <c r="F89" s="4"/>
      <c r="G89" s="4"/>
      <c r="H89" s="10"/>
      <c r="I89" s="4"/>
      <c r="J89" s="4"/>
      <c r="K89" s="4"/>
      <c r="L89" s="4"/>
      <c r="M89" s="70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 spans="1:26">
      <c r="A90" s="4"/>
      <c r="B90" s="4"/>
      <c r="C90" s="4"/>
      <c r="D90" s="4"/>
      <c r="E90" s="4"/>
      <c r="F90" s="4"/>
      <c r="G90" s="4"/>
      <c r="H90" s="10"/>
      <c r="I90" s="4"/>
      <c r="J90" s="4"/>
      <c r="K90" s="4"/>
      <c r="L90" s="4"/>
      <c r="M90" s="70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 spans="1:26">
      <c r="A91" s="4"/>
      <c r="B91" s="4"/>
      <c r="C91" s="4"/>
      <c r="D91" s="4"/>
      <c r="E91" s="4"/>
      <c r="F91" s="4"/>
      <c r="G91" s="4"/>
      <c r="H91" s="10"/>
      <c r="I91" s="4"/>
      <c r="J91" s="4"/>
      <c r="K91" s="4"/>
      <c r="L91" s="4"/>
      <c r="M91" s="70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 spans="1:26">
      <c r="A92" s="4"/>
      <c r="B92" s="4"/>
      <c r="C92" s="4"/>
      <c r="D92" s="4"/>
      <c r="E92" s="4"/>
      <c r="F92" s="4"/>
      <c r="G92" s="4"/>
      <c r="H92" s="10"/>
      <c r="I92" s="4"/>
      <c r="J92" s="4"/>
      <c r="K92" s="4"/>
      <c r="L92" s="4"/>
      <c r="M92" s="70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 spans="1:26">
      <c r="A93" s="4"/>
      <c r="B93" s="4"/>
      <c r="C93" s="4"/>
      <c r="D93" s="4"/>
      <c r="E93" s="4"/>
      <c r="F93" s="4"/>
      <c r="G93" s="4"/>
      <c r="H93" s="10"/>
      <c r="I93" s="4"/>
      <c r="J93" s="4"/>
      <c r="K93" s="4"/>
      <c r="L93" s="4"/>
      <c r="M93" s="70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 spans="1:26">
      <c r="A94" s="4"/>
      <c r="B94" s="4"/>
      <c r="C94" s="4"/>
      <c r="D94" s="4"/>
      <c r="E94" s="4"/>
      <c r="F94" s="4"/>
      <c r="G94" s="4"/>
      <c r="H94" s="10"/>
      <c r="I94" s="4"/>
      <c r="J94" s="4"/>
      <c r="K94" s="4"/>
      <c r="L94" s="4"/>
      <c r="M94" s="70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 spans="1:26">
      <c r="A95" s="4"/>
      <c r="B95" s="4"/>
      <c r="C95" s="4"/>
      <c r="D95" s="4"/>
      <c r="E95" s="4"/>
      <c r="F95" s="4"/>
      <c r="G95" s="4"/>
      <c r="H95" s="10"/>
      <c r="I95" s="4"/>
      <c r="J95" s="4"/>
      <c r="K95" s="4"/>
      <c r="L95" s="4"/>
      <c r="M95" s="70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 spans="1:26">
      <c r="A96" s="4"/>
      <c r="B96" s="4"/>
      <c r="C96" s="4"/>
      <c r="D96" s="4"/>
      <c r="E96" s="4"/>
      <c r="F96" s="4"/>
      <c r="G96" s="4"/>
      <c r="H96" s="10"/>
      <c r="I96" s="4"/>
      <c r="J96" s="4"/>
      <c r="K96" s="4"/>
      <c r="L96" s="4"/>
      <c r="M96" s="70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 spans="1:26">
      <c r="A97" s="4"/>
      <c r="B97" s="4"/>
      <c r="C97" s="4"/>
      <c r="D97" s="4"/>
      <c r="E97" s="4"/>
      <c r="F97" s="4"/>
      <c r="G97" s="4"/>
      <c r="H97" s="10"/>
      <c r="I97" s="4"/>
      <c r="J97" s="4"/>
      <c r="K97" s="4"/>
      <c r="L97" s="4"/>
      <c r="M97" s="70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 spans="1:26">
      <c r="A98" s="4"/>
      <c r="B98" s="4"/>
      <c r="C98" s="4"/>
      <c r="D98" s="4"/>
      <c r="E98" s="4"/>
      <c r="F98" s="4"/>
      <c r="G98" s="4"/>
      <c r="H98" s="10"/>
      <c r="I98" s="4"/>
      <c r="J98" s="4"/>
      <c r="K98" s="4"/>
      <c r="L98" s="4"/>
      <c r="M98" s="70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 spans="1:26">
      <c r="A99" s="4"/>
      <c r="B99" s="4"/>
      <c r="C99" s="4"/>
      <c r="D99" s="4"/>
      <c r="E99" s="4"/>
      <c r="F99" s="4"/>
      <c r="G99" s="4"/>
      <c r="H99" s="10"/>
      <c r="I99" s="4"/>
      <c r="J99" s="4"/>
      <c r="K99" s="4"/>
      <c r="L99" s="4"/>
      <c r="M99" s="70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 spans="1:26">
      <c r="A100" s="4"/>
      <c r="B100" s="4"/>
      <c r="C100" s="4"/>
      <c r="D100" s="4"/>
      <c r="E100" s="4"/>
      <c r="F100" s="4"/>
      <c r="G100" s="4"/>
      <c r="H100" s="10"/>
      <c r="I100" s="4"/>
      <c r="J100" s="4"/>
      <c r="K100" s="4"/>
      <c r="L100" s="4"/>
      <c r="M100" s="70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 spans="1:26">
      <c r="A101" s="4"/>
      <c r="B101" s="4"/>
      <c r="C101" s="4"/>
      <c r="D101" s="4"/>
      <c r="E101" s="4"/>
      <c r="F101" s="4"/>
      <c r="G101" s="4"/>
      <c r="H101" s="10"/>
      <c r="I101" s="4"/>
      <c r="J101" s="4"/>
      <c r="K101" s="4"/>
      <c r="L101" s="4"/>
      <c r="M101" s="70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 spans="1:26">
      <c r="A102" s="4"/>
      <c r="B102" s="4"/>
      <c r="C102" s="4"/>
      <c r="D102" s="4"/>
      <c r="E102" s="4"/>
      <c r="F102" s="4"/>
      <c r="G102" s="4"/>
      <c r="H102" s="10"/>
      <c r="I102" s="4"/>
      <c r="J102" s="4"/>
      <c r="K102" s="4"/>
      <c r="L102" s="4"/>
      <c r="M102" s="70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 spans="1:26">
      <c r="A103" s="4"/>
      <c r="B103" s="4"/>
      <c r="C103" s="4"/>
      <c r="D103" s="4"/>
      <c r="E103" s="4"/>
      <c r="F103" s="4"/>
      <c r="G103" s="4"/>
      <c r="H103" s="10"/>
      <c r="I103" s="4"/>
      <c r="J103" s="4"/>
      <c r="K103" s="4"/>
      <c r="L103" s="4"/>
      <c r="M103" s="70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 spans="1:26">
      <c r="A104" s="4"/>
      <c r="B104" s="4"/>
      <c r="C104" s="4"/>
      <c r="D104" s="4"/>
      <c r="E104" s="4"/>
      <c r="F104" s="4"/>
      <c r="G104" s="4"/>
      <c r="H104" s="10"/>
      <c r="I104" s="4"/>
      <c r="J104" s="4"/>
      <c r="K104" s="4"/>
      <c r="L104" s="4"/>
      <c r="M104" s="70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 spans="1:26">
      <c r="A105" s="4"/>
      <c r="B105" s="4"/>
      <c r="C105" s="4"/>
      <c r="D105" s="4"/>
      <c r="E105" s="4"/>
      <c r="F105" s="4"/>
      <c r="G105" s="4"/>
      <c r="H105" s="10"/>
      <c r="I105" s="4"/>
      <c r="J105" s="4"/>
      <c r="K105" s="4"/>
      <c r="L105" s="4"/>
      <c r="M105" s="70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 spans="1:26">
      <c r="A106" s="4"/>
      <c r="B106" s="4"/>
      <c r="C106" s="4"/>
      <c r="D106" s="4"/>
      <c r="E106" s="4"/>
      <c r="F106" s="4"/>
      <c r="G106" s="4"/>
      <c r="H106" s="10"/>
      <c r="I106" s="4"/>
      <c r="J106" s="4"/>
      <c r="K106" s="4"/>
      <c r="L106" s="4"/>
      <c r="M106" s="70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 spans="1:26">
      <c r="A107" s="4"/>
      <c r="B107" s="4"/>
      <c r="C107" s="4"/>
      <c r="D107" s="4"/>
      <c r="E107" s="4"/>
      <c r="F107" s="4"/>
      <c r="G107" s="4"/>
      <c r="H107" s="10"/>
      <c r="I107" s="4"/>
      <c r="J107" s="4"/>
      <c r="K107" s="4"/>
      <c r="L107" s="4"/>
      <c r="M107" s="70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 spans="1:26">
      <c r="A108" s="4"/>
      <c r="B108" s="4"/>
      <c r="C108" s="4"/>
      <c r="D108" s="4"/>
      <c r="E108" s="4"/>
      <c r="F108" s="4"/>
      <c r="G108" s="4"/>
      <c r="H108" s="10"/>
      <c r="I108" s="4"/>
      <c r="J108" s="4"/>
      <c r="K108" s="4"/>
      <c r="L108" s="4"/>
      <c r="M108" s="70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 spans="1:26">
      <c r="A109" s="4"/>
      <c r="B109" s="4"/>
      <c r="C109" s="4"/>
      <c r="D109" s="4"/>
      <c r="E109" s="4"/>
      <c r="F109" s="4"/>
      <c r="G109" s="4"/>
      <c r="H109" s="10"/>
      <c r="I109" s="4"/>
      <c r="J109" s="4"/>
      <c r="K109" s="4"/>
      <c r="L109" s="4"/>
      <c r="M109" s="70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 spans="1:26">
      <c r="A110" s="4"/>
      <c r="B110" s="4"/>
      <c r="C110" s="4"/>
      <c r="D110" s="4"/>
      <c r="E110" s="4"/>
      <c r="F110" s="4"/>
      <c r="G110" s="4"/>
      <c r="H110" s="10"/>
      <c r="I110" s="4"/>
      <c r="J110" s="4"/>
      <c r="K110" s="4"/>
      <c r="L110" s="4"/>
      <c r="M110" s="70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 spans="1:26">
      <c r="A111" s="4"/>
      <c r="B111" s="4"/>
      <c r="C111" s="4"/>
      <c r="D111" s="4"/>
      <c r="E111" s="4"/>
      <c r="F111" s="4"/>
      <c r="G111" s="4"/>
      <c r="H111" s="10"/>
      <c r="I111" s="4"/>
      <c r="J111" s="4"/>
      <c r="K111" s="4"/>
      <c r="L111" s="4"/>
      <c r="M111" s="70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 spans="1:26">
      <c r="A112" s="4"/>
      <c r="B112" s="4"/>
      <c r="C112" s="4"/>
      <c r="D112" s="4"/>
      <c r="E112" s="4"/>
      <c r="F112" s="4"/>
      <c r="G112" s="4"/>
      <c r="H112" s="10"/>
      <c r="I112" s="4"/>
      <c r="J112" s="4"/>
      <c r="K112" s="4"/>
      <c r="L112" s="4"/>
      <c r="M112" s="70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 spans="1:26">
      <c r="A113" s="4"/>
      <c r="B113" s="4"/>
      <c r="C113" s="4"/>
      <c r="D113" s="4"/>
      <c r="E113" s="4"/>
      <c r="F113" s="4"/>
      <c r="G113" s="4"/>
      <c r="H113" s="10"/>
      <c r="I113" s="4"/>
      <c r="J113" s="4"/>
      <c r="K113" s="4"/>
      <c r="L113" s="4"/>
      <c r="M113" s="70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 spans="1:26">
      <c r="A114" s="4"/>
      <c r="B114" s="4"/>
      <c r="C114" s="4"/>
      <c r="D114" s="4"/>
      <c r="E114" s="4"/>
      <c r="F114" s="4"/>
      <c r="G114" s="4"/>
      <c r="H114" s="10"/>
      <c r="I114" s="4"/>
      <c r="J114" s="4"/>
      <c r="K114" s="4"/>
      <c r="L114" s="4"/>
      <c r="M114" s="70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 spans="1:26">
      <c r="A115" s="4"/>
      <c r="B115" s="4"/>
      <c r="C115" s="4"/>
      <c r="D115" s="4"/>
      <c r="E115" s="4"/>
      <c r="F115" s="4"/>
      <c r="G115" s="4"/>
      <c r="H115" s="10"/>
      <c r="I115" s="4"/>
      <c r="J115" s="4"/>
      <c r="K115" s="4"/>
      <c r="L115" s="4"/>
      <c r="M115" s="70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 spans="1:26">
      <c r="A116" s="4"/>
      <c r="B116" s="4"/>
      <c r="C116" s="4"/>
      <c r="D116" s="4"/>
      <c r="E116" s="4"/>
      <c r="F116" s="4"/>
      <c r="G116" s="4"/>
      <c r="H116" s="10"/>
      <c r="I116" s="4"/>
      <c r="J116" s="4"/>
      <c r="K116" s="4"/>
      <c r="L116" s="4"/>
      <c r="M116" s="70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 spans="1:26">
      <c r="A117" s="4"/>
      <c r="B117" s="4"/>
      <c r="C117" s="4"/>
      <c r="D117" s="4"/>
      <c r="E117" s="4"/>
      <c r="F117" s="4"/>
      <c r="G117" s="4"/>
      <c r="H117" s="10"/>
      <c r="I117" s="4"/>
      <c r="J117" s="4"/>
      <c r="K117" s="4"/>
      <c r="L117" s="4"/>
      <c r="M117" s="70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 spans="1:26">
      <c r="A118" s="4"/>
      <c r="B118" s="4"/>
      <c r="C118" s="4"/>
      <c r="D118" s="4"/>
      <c r="E118" s="4"/>
      <c r="F118" s="4"/>
      <c r="G118" s="4"/>
      <c r="H118" s="10"/>
      <c r="I118" s="4"/>
      <c r="J118" s="4"/>
      <c r="K118" s="4"/>
      <c r="L118" s="4"/>
      <c r="M118" s="70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 spans="1:26">
      <c r="A119" s="4"/>
      <c r="B119" s="4"/>
      <c r="C119" s="4"/>
      <c r="D119" s="4"/>
      <c r="E119" s="4"/>
      <c r="F119" s="4"/>
      <c r="G119" s="4"/>
      <c r="H119" s="10"/>
      <c r="I119" s="4"/>
      <c r="J119" s="4"/>
      <c r="K119" s="4"/>
      <c r="L119" s="4"/>
      <c r="M119" s="70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 spans="1:26">
      <c r="A120" s="4"/>
      <c r="B120" s="4"/>
      <c r="C120" s="4"/>
      <c r="D120" s="4"/>
      <c r="E120" s="4"/>
      <c r="F120" s="4"/>
      <c r="G120" s="4"/>
      <c r="H120" s="10"/>
      <c r="I120" s="4"/>
      <c r="J120" s="4"/>
      <c r="K120" s="4"/>
      <c r="L120" s="4"/>
      <c r="M120" s="70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 spans="1:26">
      <c r="A121" s="4"/>
      <c r="B121" s="4"/>
      <c r="C121" s="4"/>
      <c r="D121" s="4"/>
      <c r="E121" s="4"/>
      <c r="F121" s="4"/>
      <c r="G121" s="4"/>
      <c r="H121" s="10"/>
      <c r="I121" s="4"/>
      <c r="J121" s="4"/>
      <c r="K121" s="4"/>
      <c r="L121" s="4"/>
      <c r="M121" s="70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 spans="1:26">
      <c r="A122" s="4"/>
      <c r="B122" s="4"/>
      <c r="C122" s="4"/>
      <c r="D122" s="4"/>
      <c r="E122" s="4"/>
      <c r="F122" s="4"/>
      <c r="G122" s="4"/>
      <c r="H122" s="10"/>
      <c r="I122" s="4"/>
      <c r="J122" s="4"/>
      <c r="K122" s="4"/>
      <c r="L122" s="4"/>
      <c r="M122" s="70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 spans="1:26">
      <c r="A123" s="4"/>
      <c r="B123" s="4"/>
      <c r="C123" s="4"/>
      <c r="D123" s="4"/>
      <c r="E123" s="4"/>
      <c r="F123" s="4"/>
      <c r="G123" s="4"/>
      <c r="H123" s="10"/>
      <c r="I123" s="4"/>
      <c r="J123" s="4"/>
      <c r="K123" s="4"/>
      <c r="L123" s="4"/>
      <c r="M123" s="70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 spans="1:26">
      <c r="A124" s="4"/>
      <c r="B124" s="4"/>
      <c r="C124" s="4"/>
      <c r="D124" s="4"/>
      <c r="E124" s="4"/>
      <c r="F124" s="4"/>
      <c r="G124" s="4"/>
      <c r="H124" s="10"/>
      <c r="I124" s="4"/>
      <c r="J124" s="4"/>
      <c r="K124" s="4"/>
      <c r="L124" s="4"/>
      <c r="M124" s="70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 spans="1:26">
      <c r="A125" s="4"/>
      <c r="B125" s="4"/>
      <c r="C125" s="4"/>
      <c r="D125" s="4"/>
      <c r="E125" s="4"/>
      <c r="F125" s="4"/>
      <c r="G125" s="4"/>
      <c r="H125" s="10"/>
      <c r="I125" s="4"/>
      <c r="J125" s="4"/>
      <c r="K125" s="4"/>
      <c r="L125" s="4"/>
      <c r="M125" s="70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 spans="1:26">
      <c r="A126" s="4"/>
      <c r="B126" s="4"/>
      <c r="C126" s="4"/>
      <c r="D126" s="4"/>
      <c r="E126" s="4"/>
      <c r="F126" s="4"/>
      <c r="G126" s="4"/>
      <c r="H126" s="10"/>
      <c r="I126" s="4"/>
      <c r="J126" s="4"/>
      <c r="K126" s="4"/>
      <c r="L126" s="4"/>
      <c r="M126" s="70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 spans="1:26">
      <c r="A127" s="4"/>
      <c r="B127" s="4"/>
      <c r="C127" s="4"/>
      <c r="D127" s="4"/>
      <c r="E127" s="4"/>
      <c r="F127" s="4"/>
      <c r="G127" s="4"/>
      <c r="H127" s="10"/>
      <c r="I127" s="4"/>
      <c r="J127" s="4"/>
      <c r="K127" s="4"/>
      <c r="L127" s="4"/>
      <c r="M127" s="70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 spans="1:26">
      <c r="A128" s="4"/>
      <c r="B128" s="4"/>
      <c r="C128" s="4"/>
      <c r="D128" s="4"/>
      <c r="E128" s="4"/>
      <c r="F128" s="4"/>
      <c r="G128" s="4"/>
      <c r="H128" s="10"/>
      <c r="I128" s="4"/>
      <c r="J128" s="4"/>
      <c r="K128" s="4"/>
      <c r="L128" s="4"/>
      <c r="M128" s="70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 spans="1:26">
      <c r="A129" s="4"/>
      <c r="B129" s="4"/>
      <c r="C129" s="4"/>
      <c r="D129" s="4"/>
      <c r="E129" s="4"/>
      <c r="F129" s="4"/>
      <c r="G129" s="4"/>
      <c r="H129" s="10"/>
      <c r="I129" s="4"/>
      <c r="J129" s="4"/>
      <c r="K129" s="4"/>
      <c r="L129" s="4"/>
      <c r="M129" s="70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 spans="1:26">
      <c r="A130" s="4"/>
      <c r="B130" s="4"/>
      <c r="C130" s="4"/>
      <c r="D130" s="4"/>
      <c r="E130" s="4"/>
      <c r="F130" s="4"/>
      <c r="G130" s="4"/>
      <c r="H130" s="10"/>
      <c r="I130" s="4"/>
      <c r="J130" s="4"/>
      <c r="K130" s="4"/>
      <c r="L130" s="4"/>
      <c r="M130" s="70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 spans="1:26">
      <c r="A131" s="4"/>
      <c r="B131" s="4"/>
      <c r="C131" s="4"/>
      <c r="D131" s="4"/>
      <c r="E131" s="4"/>
      <c r="F131" s="4"/>
      <c r="G131" s="4"/>
      <c r="H131" s="10"/>
      <c r="I131" s="4"/>
      <c r="J131" s="4"/>
      <c r="K131" s="4"/>
      <c r="L131" s="4"/>
      <c r="M131" s="70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 spans="1:26">
      <c r="A132" s="4"/>
      <c r="B132" s="4"/>
      <c r="C132" s="4"/>
      <c r="D132" s="4"/>
      <c r="E132" s="4"/>
      <c r="F132" s="4"/>
      <c r="G132" s="4"/>
      <c r="H132" s="10"/>
      <c r="I132" s="4"/>
      <c r="J132" s="4"/>
      <c r="K132" s="4"/>
      <c r="L132" s="4"/>
      <c r="M132" s="70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 spans="1:26">
      <c r="A133" s="4"/>
      <c r="B133" s="4"/>
      <c r="C133" s="4"/>
      <c r="D133" s="4"/>
      <c r="E133" s="4"/>
      <c r="F133" s="4"/>
      <c r="G133" s="4"/>
      <c r="H133" s="10"/>
      <c r="I133" s="4"/>
      <c r="J133" s="4"/>
      <c r="K133" s="4"/>
      <c r="L133" s="4"/>
      <c r="M133" s="70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 spans="1:26">
      <c r="A134" s="4"/>
      <c r="B134" s="4"/>
      <c r="C134" s="4"/>
      <c r="D134" s="4"/>
      <c r="E134" s="4"/>
      <c r="F134" s="4"/>
      <c r="G134" s="4"/>
      <c r="H134" s="10"/>
      <c r="I134" s="4"/>
      <c r="J134" s="4"/>
      <c r="K134" s="4"/>
      <c r="L134" s="4"/>
      <c r="M134" s="70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 spans="1:26">
      <c r="A135" s="4"/>
      <c r="B135" s="4"/>
      <c r="C135" s="4"/>
      <c r="D135" s="4"/>
      <c r="E135" s="4"/>
      <c r="F135" s="4"/>
      <c r="G135" s="4"/>
      <c r="H135" s="10"/>
      <c r="I135" s="4"/>
      <c r="J135" s="4"/>
      <c r="K135" s="4"/>
      <c r="L135" s="4"/>
      <c r="M135" s="70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 spans="1:26">
      <c r="A136" s="4"/>
      <c r="B136" s="4"/>
      <c r="C136" s="4"/>
      <c r="D136" s="4"/>
      <c r="E136" s="4"/>
      <c r="F136" s="4"/>
      <c r="G136" s="4"/>
      <c r="H136" s="10"/>
      <c r="I136" s="4"/>
      <c r="J136" s="4"/>
      <c r="K136" s="4"/>
      <c r="L136" s="4"/>
      <c r="M136" s="70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 spans="1:26">
      <c r="A137" s="4"/>
      <c r="B137" s="4"/>
      <c r="C137" s="4"/>
      <c r="D137" s="4"/>
      <c r="E137" s="4"/>
      <c r="F137" s="4"/>
      <c r="G137" s="4"/>
      <c r="H137" s="10"/>
      <c r="I137" s="4"/>
      <c r="J137" s="4"/>
      <c r="K137" s="4"/>
      <c r="L137" s="4"/>
      <c r="M137" s="70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 spans="1:26">
      <c r="A138" s="4"/>
      <c r="B138" s="4"/>
      <c r="C138" s="4"/>
      <c r="D138" s="4"/>
      <c r="E138" s="4"/>
      <c r="F138" s="4"/>
      <c r="G138" s="4"/>
      <c r="H138" s="10"/>
      <c r="I138" s="4"/>
      <c r="J138" s="4"/>
      <c r="K138" s="4"/>
      <c r="L138" s="4"/>
      <c r="M138" s="70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 spans="1:26">
      <c r="A139" s="4"/>
      <c r="B139" s="4"/>
      <c r="C139" s="4"/>
      <c r="D139" s="4"/>
      <c r="E139" s="4"/>
      <c r="F139" s="4"/>
      <c r="G139" s="4"/>
      <c r="H139" s="10"/>
      <c r="I139" s="4"/>
      <c r="J139" s="4"/>
      <c r="K139" s="4"/>
      <c r="L139" s="4"/>
      <c r="M139" s="70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 spans="1:26">
      <c r="A140" s="4"/>
      <c r="B140" s="4"/>
      <c r="C140" s="4"/>
      <c r="D140" s="4"/>
      <c r="E140" s="4"/>
      <c r="F140" s="4"/>
      <c r="G140" s="4"/>
      <c r="H140" s="10"/>
      <c r="I140" s="4"/>
      <c r="J140" s="4"/>
      <c r="K140" s="4"/>
      <c r="L140" s="4"/>
      <c r="M140" s="70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 spans="1:26">
      <c r="A141" s="4"/>
      <c r="B141" s="4"/>
      <c r="C141" s="4"/>
      <c r="D141" s="4"/>
      <c r="E141" s="4"/>
      <c r="F141" s="4"/>
      <c r="G141" s="4"/>
      <c r="H141" s="10"/>
      <c r="I141" s="4"/>
      <c r="J141" s="4"/>
      <c r="K141" s="4"/>
      <c r="L141" s="4"/>
      <c r="M141" s="70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 spans="1:26">
      <c r="A142" s="4"/>
      <c r="B142" s="4"/>
      <c r="C142" s="4"/>
      <c r="D142" s="4"/>
      <c r="E142" s="4"/>
      <c r="F142" s="4"/>
      <c r="G142" s="4"/>
      <c r="H142" s="10"/>
      <c r="I142" s="4"/>
      <c r="J142" s="4"/>
      <c r="K142" s="4"/>
      <c r="L142" s="4"/>
      <c r="M142" s="70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 spans="1:26">
      <c r="A143" s="4"/>
      <c r="B143" s="4"/>
      <c r="C143" s="4"/>
      <c r="D143" s="4"/>
      <c r="E143" s="4"/>
      <c r="F143" s="4"/>
      <c r="G143" s="4"/>
      <c r="H143" s="10"/>
      <c r="I143" s="4"/>
      <c r="J143" s="4"/>
      <c r="K143" s="4"/>
      <c r="L143" s="4"/>
      <c r="M143" s="70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 spans="1:26">
      <c r="A144" s="4"/>
      <c r="B144" s="4"/>
      <c r="C144" s="4"/>
      <c r="D144" s="4"/>
      <c r="E144" s="4"/>
      <c r="F144" s="4"/>
      <c r="G144" s="4"/>
      <c r="H144" s="10"/>
      <c r="I144" s="4"/>
      <c r="J144" s="4"/>
      <c r="K144" s="4"/>
      <c r="L144" s="4"/>
      <c r="M144" s="70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 spans="1:26">
      <c r="A145" s="4"/>
      <c r="B145" s="4"/>
      <c r="C145" s="4"/>
      <c r="D145" s="4"/>
      <c r="E145" s="4"/>
      <c r="F145" s="4"/>
      <c r="G145" s="4"/>
      <c r="H145" s="10"/>
      <c r="I145" s="4"/>
      <c r="J145" s="4"/>
      <c r="K145" s="4"/>
      <c r="L145" s="4"/>
      <c r="M145" s="70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 spans="1:26">
      <c r="A146" s="4"/>
      <c r="B146" s="4"/>
      <c r="C146" s="4"/>
      <c r="D146" s="4"/>
      <c r="E146" s="4"/>
      <c r="F146" s="4"/>
      <c r="G146" s="4"/>
      <c r="H146" s="10"/>
      <c r="I146" s="4"/>
      <c r="J146" s="4"/>
      <c r="K146" s="4"/>
      <c r="L146" s="4"/>
      <c r="M146" s="70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 spans="1:26">
      <c r="A147" s="4"/>
      <c r="B147" s="4"/>
      <c r="C147" s="4"/>
      <c r="D147" s="4"/>
      <c r="E147" s="4"/>
      <c r="F147" s="4"/>
      <c r="G147" s="4"/>
      <c r="H147" s="10"/>
      <c r="I147" s="4"/>
      <c r="J147" s="4"/>
      <c r="K147" s="4"/>
      <c r="L147" s="4"/>
      <c r="M147" s="70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 spans="1:26">
      <c r="A148" s="4"/>
      <c r="B148" s="4"/>
      <c r="C148" s="4"/>
      <c r="D148" s="4"/>
      <c r="E148" s="4"/>
      <c r="F148" s="4"/>
      <c r="G148" s="4"/>
      <c r="H148" s="10"/>
      <c r="I148" s="4"/>
      <c r="J148" s="4"/>
      <c r="K148" s="4"/>
      <c r="L148" s="4"/>
      <c r="M148" s="70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 spans="1:26">
      <c r="A149" s="4"/>
      <c r="B149" s="4"/>
      <c r="C149" s="4"/>
      <c r="D149" s="4"/>
      <c r="E149" s="4"/>
      <c r="F149" s="4"/>
      <c r="G149" s="4"/>
      <c r="H149" s="10"/>
      <c r="I149" s="4"/>
      <c r="J149" s="4"/>
      <c r="K149" s="4"/>
      <c r="L149" s="4"/>
      <c r="M149" s="70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 spans="1:26">
      <c r="A150" s="4"/>
      <c r="B150" s="4"/>
      <c r="C150" s="4"/>
      <c r="D150" s="4"/>
      <c r="E150" s="4"/>
      <c r="F150" s="4"/>
      <c r="G150" s="4"/>
      <c r="H150" s="10"/>
      <c r="I150" s="4"/>
      <c r="J150" s="4"/>
      <c r="K150" s="4"/>
      <c r="L150" s="4"/>
      <c r="M150" s="70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 spans="1:26">
      <c r="A151" s="4"/>
      <c r="B151" s="4"/>
      <c r="C151" s="4"/>
      <c r="D151" s="4"/>
      <c r="E151" s="4"/>
      <c r="F151" s="4"/>
      <c r="G151" s="4"/>
      <c r="H151" s="10"/>
      <c r="I151" s="4"/>
      <c r="J151" s="4"/>
      <c r="K151" s="4"/>
      <c r="L151" s="4"/>
      <c r="M151" s="70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 spans="1:26">
      <c r="A152" s="4"/>
      <c r="B152" s="4"/>
      <c r="C152" s="4"/>
      <c r="D152" s="4"/>
      <c r="E152" s="4"/>
      <c r="F152" s="4"/>
      <c r="G152" s="4"/>
      <c r="H152" s="10"/>
      <c r="I152" s="4"/>
      <c r="J152" s="4"/>
      <c r="K152" s="4"/>
      <c r="L152" s="4"/>
      <c r="M152" s="70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 spans="1:26">
      <c r="A153" s="4"/>
      <c r="B153" s="4"/>
      <c r="C153" s="4"/>
      <c r="D153" s="4"/>
      <c r="E153" s="4"/>
      <c r="F153" s="4"/>
      <c r="G153" s="4"/>
      <c r="H153" s="10"/>
      <c r="I153" s="4"/>
      <c r="J153" s="4"/>
      <c r="K153" s="4"/>
      <c r="L153" s="4"/>
      <c r="M153" s="70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 spans="1:26">
      <c r="A154" s="4"/>
      <c r="B154" s="4"/>
      <c r="C154" s="4"/>
      <c r="D154" s="4"/>
      <c r="E154" s="4"/>
      <c r="F154" s="4"/>
      <c r="G154" s="4"/>
      <c r="H154" s="10"/>
      <c r="I154" s="4"/>
      <c r="J154" s="4"/>
      <c r="K154" s="4"/>
      <c r="L154" s="4"/>
      <c r="M154" s="70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 spans="1:26">
      <c r="A155" s="4"/>
      <c r="B155" s="4"/>
      <c r="C155" s="4"/>
      <c r="D155" s="4"/>
      <c r="E155" s="4"/>
      <c r="F155" s="4"/>
      <c r="G155" s="4"/>
      <c r="H155" s="10"/>
      <c r="I155" s="4"/>
      <c r="J155" s="4"/>
      <c r="K155" s="4"/>
      <c r="L155" s="4"/>
      <c r="M155" s="70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 spans="1:26">
      <c r="A156" s="4"/>
      <c r="B156" s="4"/>
      <c r="C156" s="4"/>
      <c r="D156" s="4"/>
      <c r="E156" s="4"/>
      <c r="F156" s="4"/>
      <c r="G156" s="4"/>
      <c r="H156" s="10"/>
      <c r="I156" s="4"/>
      <c r="J156" s="4"/>
      <c r="K156" s="4"/>
      <c r="L156" s="4"/>
      <c r="M156" s="70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 spans="1:26">
      <c r="A157" s="4"/>
      <c r="B157" s="4"/>
      <c r="C157" s="4"/>
      <c r="D157" s="4"/>
      <c r="E157" s="4"/>
      <c r="F157" s="4"/>
      <c r="G157" s="4"/>
      <c r="H157" s="10"/>
      <c r="I157" s="4"/>
      <c r="J157" s="4"/>
      <c r="K157" s="4"/>
      <c r="L157" s="4"/>
      <c r="M157" s="70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 spans="1:26">
      <c r="A158" s="4"/>
      <c r="B158" s="4"/>
      <c r="C158" s="4"/>
      <c r="D158" s="4"/>
      <c r="E158" s="4"/>
      <c r="F158" s="4"/>
      <c r="G158" s="4"/>
      <c r="H158" s="10"/>
      <c r="I158" s="4"/>
      <c r="J158" s="4"/>
      <c r="K158" s="4"/>
      <c r="L158" s="4"/>
      <c r="M158" s="70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 spans="1:26">
      <c r="A159" s="4"/>
      <c r="B159" s="4"/>
      <c r="C159" s="4"/>
      <c r="D159" s="4"/>
      <c r="E159" s="4"/>
      <c r="F159" s="4"/>
      <c r="G159" s="4"/>
      <c r="H159" s="10"/>
      <c r="I159" s="4"/>
      <c r="J159" s="4"/>
      <c r="K159" s="4"/>
      <c r="L159" s="4"/>
      <c r="M159" s="70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 spans="1:26">
      <c r="A160" s="4"/>
      <c r="B160" s="4"/>
      <c r="C160" s="4"/>
      <c r="D160" s="4"/>
      <c r="E160" s="4"/>
      <c r="F160" s="4"/>
      <c r="G160" s="4"/>
      <c r="H160" s="10"/>
      <c r="I160" s="4"/>
      <c r="J160" s="4"/>
      <c r="K160" s="4"/>
      <c r="L160" s="4"/>
      <c r="M160" s="70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 spans="1:26">
      <c r="A161" s="4"/>
      <c r="B161" s="4"/>
      <c r="C161" s="4"/>
      <c r="D161" s="4"/>
      <c r="E161" s="4"/>
      <c r="F161" s="4"/>
      <c r="G161" s="4"/>
      <c r="H161" s="10"/>
      <c r="I161" s="4"/>
      <c r="J161" s="4"/>
      <c r="K161" s="4"/>
      <c r="L161" s="4"/>
      <c r="M161" s="70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 spans="1:26">
      <c r="A162" s="4"/>
      <c r="B162" s="4"/>
      <c r="C162" s="4"/>
      <c r="D162" s="4"/>
      <c r="E162" s="4"/>
      <c r="F162" s="4"/>
      <c r="G162" s="4"/>
      <c r="H162" s="10"/>
      <c r="I162" s="4"/>
      <c r="J162" s="4"/>
      <c r="K162" s="4"/>
      <c r="L162" s="4"/>
      <c r="M162" s="70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 spans="1:26">
      <c r="A163" s="4"/>
      <c r="B163" s="4"/>
      <c r="C163" s="4"/>
      <c r="D163" s="4"/>
      <c r="E163" s="4"/>
      <c r="F163" s="4"/>
      <c r="G163" s="4"/>
      <c r="H163" s="10"/>
      <c r="I163" s="4"/>
      <c r="J163" s="4"/>
      <c r="K163" s="4"/>
      <c r="L163" s="4"/>
      <c r="M163" s="70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 spans="1:26">
      <c r="A164" s="4"/>
      <c r="B164" s="4"/>
      <c r="C164" s="4"/>
      <c r="D164" s="4"/>
      <c r="E164" s="4"/>
      <c r="F164" s="4"/>
      <c r="G164" s="4"/>
      <c r="H164" s="10"/>
      <c r="I164" s="4"/>
      <c r="J164" s="4"/>
      <c r="K164" s="4"/>
      <c r="L164" s="4"/>
      <c r="M164" s="70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 spans="1:26">
      <c r="A165" s="4"/>
      <c r="B165" s="4"/>
      <c r="C165" s="4"/>
      <c r="D165" s="4"/>
      <c r="E165" s="4"/>
      <c r="F165" s="4"/>
      <c r="G165" s="4"/>
      <c r="H165" s="10"/>
      <c r="I165" s="4"/>
      <c r="J165" s="4"/>
      <c r="K165" s="4"/>
      <c r="L165" s="4"/>
      <c r="M165" s="70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 spans="1:26">
      <c r="A166" s="4"/>
      <c r="B166" s="4"/>
      <c r="C166" s="4"/>
      <c r="D166" s="4"/>
      <c r="E166" s="4"/>
      <c r="F166" s="4"/>
      <c r="G166" s="4"/>
      <c r="H166" s="10"/>
      <c r="I166" s="4"/>
      <c r="J166" s="4"/>
      <c r="K166" s="4"/>
      <c r="L166" s="4"/>
      <c r="M166" s="70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 spans="1:26">
      <c r="A167" s="4"/>
      <c r="B167" s="4"/>
      <c r="C167" s="4"/>
      <c r="D167" s="4"/>
      <c r="E167" s="4"/>
      <c r="F167" s="4"/>
      <c r="G167" s="4"/>
      <c r="H167" s="10"/>
      <c r="I167" s="4"/>
      <c r="J167" s="4"/>
      <c r="K167" s="4"/>
      <c r="L167" s="4"/>
      <c r="M167" s="70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 spans="1:26">
      <c r="A168" s="4"/>
      <c r="B168" s="4"/>
      <c r="C168" s="4"/>
      <c r="D168" s="4"/>
      <c r="E168" s="4"/>
      <c r="F168" s="4"/>
      <c r="G168" s="4"/>
      <c r="H168" s="10"/>
      <c r="I168" s="4"/>
      <c r="J168" s="4"/>
      <c r="K168" s="4"/>
      <c r="L168" s="4"/>
      <c r="M168" s="70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 spans="1:26">
      <c r="A169" s="4"/>
      <c r="B169" s="4"/>
      <c r="C169" s="4"/>
      <c r="D169" s="4"/>
      <c r="E169" s="4"/>
      <c r="F169" s="4"/>
      <c r="G169" s="4"/>
      <c r="H169" s="10"/>
      <c r="I169" s="4"/>
      <c r="J169" s="4"/>
      <c r="K169" s="4"/>
      <c r="L169" s="4"/>
      <c r="M169" s="70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 spans="1:26">
      <c r="A170" s="4"/>
      <c r="B170" s="4"/>
      <c r="C170" s="4"/>
      <c r="D170" s="4"/>
      <c r="E170" s="4"/>
      <c r="F170" s="4"/>
      <c r="G170" s="4"/>
      <c r="H170" s="10"/>
      <c r="I170" s="4"/>
      <c r="J170" s="4"/>
      <c r="K170" s="4"/>
      <c r="L170" s="4"/>
      <c r="M170" s="70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 spans="1:26">
      <c r="A171" s="4"/>
      <c r="B171" s="4"/>
      <c r="C171" s="4"/>
      <c r="D171" s="4"/>
      <c r="E171" s="4"/>
      <c r="F171" s="4"/>
      <c r="G171" s="4"/>
      <c r="H171" s="10"/>
      <c r="I171" s="4"/>
      <c r="J171" s="4"/>
      <c r="K171" s="4"/>
      <c r="L171" s="4"/>
      <c r="M171" s="70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 spans="1:26">
      <c r="A172" s="4"/>
      <c r="B172" s="4"/>
      <c r="C172" s="4"/>
      <c r="D172" s="4"/>
      <c r="E172" s="4"/>
      <c r="F172" s="4"/>
      <c r="G172" s="4"/>
      <c r="H172" s="10"/>
      <c r="I172" s="4"/>
      <c r="J172" s="4"/>
      <c r="K172" s="4"/>
      <c r="L172" s="4"/>
      <c r="M172" s="70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 spans="1:26">
      <c r="A173" s="4"/>
      <c r="B173" s="4"/>
      <c r="C173" s="4"/>
      <c r="D173" s="4"/>
      <c r="E173" s="4"/>
      <c r="F173" s="4"/>
      <c r="G173" s="4"/>
      <c r="H173" s="10"/>
      <c r="I173" s="4"/>
      <c r="J173" s="4"/>
      <c r="K173" s="4"/>
      <c r="L173" s="4"/>
      <c r="M173" s="70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 spans="1:26">
      <c r="A174" s="4"/>
      <c r="B174" s="4"/>
      <c r="C174" s="4"/>
      <c r="D174" s="4"/>
      <c r="E174" s="4"/>
      <c r="F174" s="4"/>
      <c r="G174" s="4"/>
      <c r="H174" s="10"/>
      <c r="I174" s="4"/>
      <c r="J174" s="4"/>
      <c r="K174" s="4"/>
      <c r="L174" s="4"/>
      <c r="M174" s="70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 spans="1:26">
      <c r="A175" s="4"/>
      <c r="B175" s="4"/>
      <c r="C175" s="4"/>
      <c r="D175" s="4"/>
      <c r="E175" s="4"/>
      <c r="F175" s="4"/>
      <c r="G175" s="4"/>
      <c r="H175" s="10"/>
      <c r="I175" s="4"/>
      <c r="J175" s="4"/>
      <c r="K175" s="4"/>
      <c r="L175" s="4"/>
      <c r="M175" s="70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 spans="1:26">
      <c r="A176" s="4"/>
      <c r="B176" s="4"/>
      <c r="C176" s="4"/>
      <c r="D176" s="4"/>
      <c r="E176" s="4"/>
      <c r="F176" s="4"/>
      <c r="G176" s="4"/>
      <c r="H176" s="10"/>
      <c r="I176" s="4"/>
      <c r="J176" s="4"/>
      <c r="K176" s="4"/>
      <c r="L176" s="4"/>
      <c r="M176" s="70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 spans="1:26">
      <c r="A177" s="4"/>
      <c r="B177" s="4"/>
      <c r="C177" s="4"/>
      <c r="D177" s="4"/>
      <c r="E177" s="4"/>
      <c r="F177" s="4"/>
      <c r="G177" s="4"/>
      <c r="H177" s="10"/>
      <c r="I177" s="4"/>
      <c r="J177" s="4"/>
      <c r="K177" s="4"/>
      <c r="L177" s="4"/>
      <c r="M177" s="70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 spans="1:26">
      <c r="A178" s="4"/>
      <c r="B178" s="4"/>
      <c r="C178" s="4"/>
      <c r="D178" s="4"/>
      <c r="E178" s="4"/>
      <c r="F178" s="4"/>
      <c r="G178" s="4"/>
      <c r="H178" s="10"/>
      <c r="I178" s="4"/>
      <c r="J178" s="4"/>
      <c r="K178" s="4"/>
      <c r="L178" s="4"/>
      <c r="M178" s="70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 spans="1:26">
      <c r="A179" s="4"/>
      <c r="B179" s="4"/>
      <c r="C179" s="4"/>
      <c r="D179" s="4"/>
      <c r="E179" s="4"/>
      <c r="F179" s="4"/>
      <c r="G179" s="4"/>
      <c r="H179" s="10"/>
      <c r="I179" s="4"/>
      <c r="J179" s="4"/>
      <c r="K179" s="4"/>
      <c r="L179" s="4"/>
      <c r="M179" s="70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 spans="1:26">
      <c r="A180" s="4"/>
      <c r="B180" s="4"/>
      <c r="C180" s="4"/>
      <c r="D180" s="4"/>
      <c r="E180" s="4"/>
      <c r="F180" s="4"/>
      <c r="G180" s="4"/>
      <c r="H180" s="10"/>
      <c r="I180" s="4"/>
      <c r="J180" s="4"/>
      <c r="K180" s="4"/>
      <c r="L180" s="4"/>
      <c r="M180" s="70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 spans="1:26">
      <c r="A181" s="4"/>
      <c r="B181" s="4"/>
      <c r="C181" s="4"/>
      <c r="D181" s="4"/>
      <c r="E181" s="4"/>
      <c r="F181" s="4"/>
      <c r="G181" s="4"/>
      <c r="H181" s="10"/>
      <c r="I181" s="4"/>
      <c r="J181" s="4"/>
      <c r="K181" s="4"/>
      <c r="L181" s="4"/>
      <c r="M181" s="70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 spans="1:26">
      <c r="A182" s="4"/>
      <c r="B182" s="4"/>
      <c r="C182" s="4"/>
      <c r="D182" s="4"/>
      <c r="E182" s="4"/>
      <c r="F182" s="4"/>
      <c r="G182" s="4"/>
      <c r="H182" s="10"/>
      <c r="I182" s="4"/>
      <c r="J182" s="4"/>
      <c r="K182" s="4"/>
      <c r="L182" s="4"/>
      <c r="M182" s="70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 spans="1:26">
      <c r="A183" s="4"/>
      <c r="B183" s="4"/>
      <c r="C183" s="4"/>
      <c r="D183" s="4"/>
      <c r="E183" s="4"/>
      <c r="F183" s="4"/>
      <c r="G183" s="4"/>
      <c r="H183" s="10"/>
      <c r="I183" s="4"/>
      <c r="J183" s="4"/>
      <c r="K183" s="4"/>
      <c r="L183" s="4"/>
      <c r="M183" s="70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 spans="1:26">
      <c r="A184" s="4"/>
      <c r="B184" s="4"/>
      <c r="C184" s="4"/>
      <c r="D184" s="4"/>
      <c r="E184" s="4"/>
      <c r="F184" s="4"/>
      <c r="G184" s="4"/>
      <c r="H184" s="10"/>
      <c r="I184" s="4"/>
      <c r="J184" s="4"/>
      <c r="K184" s="4"/>
      <c r="L184" s="4"/>
      <c r="M184" s="70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 spans="1:26">
      <c r="A185" s="4"/>
      <c r="B185" s="4"/>
      <c r="C185" s="4"/>
      <c r="D185" s="4"/>
      <c r="E185" s="4"/>
      <c r="F185" s="4"/>
      <c r="G185" s="4"/>
      <c r="H185" s="10"/>
      <c r="I185" s="4"/>
      <c r="J185" s="4"/>
      <c r="K185" s="4"/>
      <c r="L185" s="4"/>
      <c r="M185" s="70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 spans="1:26">
      <c r="A186" s="4"/>
      <c r="B186" s="4"/>
      <c r="C186" s="4"/>
      <c r="D186" s="4"/>
      <c r="E186" s="4"/>
      <c r="F186" s="4"/>
      <c r="G186" s="4"/>
      <c r="H186" s="10"/>
      <c r="I186" s="4"/>
      <c r="J186" s="4"/>
      <c r="K186" s="4"/>
      <c r="L186" s="4"/>
      <c r="M186" s="70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 spans="1:26">
      <c r="A187" s="4"/>
      <c r="B187" s="4"/>
      <c r="C187" s="4"/>
      <c r="D187" s="4"/>
      <c r="E187" s="4"/>
      <c r="F187" s="4"/>
      <c r="G187" s="4"/>
      <c r="H187" s="10"/>
      <c r="I187" s="4"/>
      <c r="J187" s="4"/>
      <c r="K187" s="4"/>
      <c r="L187" s="4"/>
      <c r="M187" s="70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 spans="1:26">
      <c r="A188" s="4"/>
      <c r="B188" s="4"/>
      <c r="C188" s="4"/>
      <c r="D188" s="4"/>
      <c r="E188" s="4"/>
      <c r="F188" s="4"/>
      <c r="G188" s="4"/>
      <c r="H188" s="10"/>
      <c r="I188" s="4"/>
      <c r="J188" s="4"/>
      <c r="K188" s="4"/>
      <c r="L188" s="4"/>
      <c r="M188" s="70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 spans="1:26">
      <c r="A189" s="4"/>
      <c r="B189" s="4"/>
      <c r="C189" s="4"/>
      <c r="D189" s="4"/>
      <c r="E189" s="4"/>
      <c r="F189" s="4"/>
      <c r="G189" s="4"/>
      <c r="H189" s="10"/>
      <c r="I189" s="4"/>
      <c r="J189" s="4"/>
      <c r="K189" s="4"/>
      <c r="L189" s="4"/>
      <c r="M189" s="70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 spans="1:26">
      <c r="A190" s="4"/>
      <c r="B190" s="4"/>
      <c r="C190" s="4"/>
      <c r="D190" s="4"/>
      <c r="E190" s="4"/>
      <c r="F190" s="4"/>
      <c r="G190" s="4"/>
      <c r="H190" s="10"/>
      <c r="I190" s="4"/>
      <c r="J190" s="4"/>
      <c r="K190" s="4"/>
      <c r="L190" s="4"/>
      <c r="M190" s="70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 spans="1:26">
      <c r="A191" s="4"/>
      <c r="B191" s="4"/>
      <c r="C191" s="4"/>
      <c r="D191" s="4"/>
      <c r="E191" s="4"/>
      <c r="F191" s="4"/>
      <c r="G191" s="4"/>
      <c r="H191" s="10"/>
      <c r="I191" s="4"/>
      <c r="J191" s="4"/>
      <c r="K191" s="4"/>
      <c r="L191" s="4"/>
      <c r="M191" s="70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 spans="1:26">
      <c r="A192" s="4"/>
      <c r="B192" s="4"/>
      <c r="C192" s="4"/>
      <c r="D192" s="4"/>
      <c r="E192" s="4"/>
      <c r="F192" s="4"/>
      <c r="G192" s="4"/>
      <c r="H192" s="10"/>
      <c r="I192" s="4"/>
      <c r="J192" s="4"/>
      <c r="K192" s="4"/>
      <c r="L192" s="4"/>
      <c r="M192" s="70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 spans="1:26">
      <c r="A193" s="4"/>
      <c r="B193" s="4"/>
      <c r="C193" s="4"/>
      <c r="D193" s="4"/>
      <c r="E193" s="4"/>
      <c r="F193" s="4"/>
      <c r="G193" s="4"/>
      <c r="H193" s="10"/>
      <c r="I193" s="4"/>
      <c r="J193" s="4"/>
      <c r="K193" s="4"/>
      <c r="L193" s="4"/>
      <c r="M193" s="70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 spans="1:26">
      <c r="A194" s="4"/>
      <c r="B194" s="4"/>
      <c r="C194" s="4"/>
      <c r="D194" s="4"/>
      <c r="E194" s="4"/>
      <c r="F194" s="4"/>
      <c r="G194" s="4"/>
      <c r="H194" s="10"/>
      <c r="I194" s="4"/>
      <c r="J194" s="4"/>
      <c r="K194" s="4"/>
      <c r="L194" s="4"/>
      <c r="M194" s="70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 spans="1:26">
      <c r="A195" s="4"/>
      <c r="B195" s="4"/>
      <c r="C195" s="4"/>
      <c r="D195" s="4"/>
      <c r="E195" s="4"/>
      <c r="F195" s="4"/>
      <c r="G195" s="4"/>
      <c r="H195" s="10"/>
      <c r="I195" s="4"/>
      <c r="J195" s="4"/>
      <c r="K195" s="4"/>
      <c r="L195" s="4"/>
      <c r="M195" s="70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 spans="1:26">
      <c r="A196" s="4"/>
      <c r="B196" s="4"/>
      <c r="C196" s="4"/>
      <c r="D196" s="4"/>
      <c r="E196" s="4"/>
      <c r="F196" s="4"/>
      <c r="G196" s="4"/>
      <c r="H196" s="10"/>
      <c r="I196" s="4"/>
      <c r="J196" s="4"/>
      <c r="K196" s="4"/>
      <c r="L196" s="4"/>
      <c r="M196" s="70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 spans="1:26">
      <c r="A197" s="4"/>
      <c r="B197" s="4"/>
      <c r="C197" s="4"/>
      <c r="D197" s="4"/>
      <c r="E197" s="4"/>
      <c r="F197" s="4"/>
      <c r="G197" s="4"/>
      <c r="H197" s="10"/>
      <c r="I197" s="4"/>
      <c r="J197" s="4"/>
      <c r="K197" s="4"/>
      <c r="L197" s="4"/>
      <c r="M197" s="70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 spans="1:26">
      <c r="A198" s="4"/>
      <c r="B198" s="4"/>
      <c r="C198" s="4"/>
      <c r="D198" s="4"/>
      <c r="E198" s="4"/>
      <c r="F198" s="4"/>
      <c r="G198" s="4"/>
      <c r="H198" s="10"/>
      <c r="I198" s="4"/>
      <c r="J198" s="4"/>
      <c r="K198" s="4"/>
      <c r="L198" s="4"/>
      <c r="M198" s="70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 spans="1:26">
      <c r="A199" s="4"/>
      <c r="B199" s="4"/>
      <c r="C199" s="4"/>
      <c r="D199" s="4"/>
      <c r="E199" s="4"/>
      <c r="F199" s="4"/>
      <c r="G199" s="4"/>
      <c r="H199" s="10"/>
      <c r="I199" s="4"/>
      <c r="J199" s="4"/>
      <c r="K199" s="4"/>
      <c r="L199" s="4"/>
      <c r="M199" s="70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 spans="1:26">
      <c r="A200" s="4"/>
      <c r="B200" s="4"/>
      <c r="C200" s="4"/>
      <c r="D200" s="4"/>
      <c r="E200" s="4"/>
      <c r="F200" s="4"/>
      <c r="G200" s="4"/>
      <c r="H200" s="10"/>
      <c r="I200" s="4"/>
      <c r="J200" s="4"/>
      <c r="K200" s="4"/>
      <c r="L200" s="4"/>
      <c r="M200" s="70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 spans="1:26">
      <c r="A201" s="4"/>
      <c r="B201" s="4"/>
      <c r="C201" s="4"/>
      <c r="D201" s="4"/>
      <c r="E201" s="4"/>
      <c r="F201" s="4"/>
      <c r="G201" s="4"/>
      <c r="H201" s="10"/>
      <c r="I201" s="4"/>
      <c r="J201" s="4"/>
      <c r="K201" s="4"/>
      <c r="L201" s="4"/>
      <c r="M201" s="70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 spans="1:26">
      <c r="A202" s="4"/>
      <c r="B202" s="4"/>
      <c r="C202" s="4"/>
      <c r="D202" s="4"/>
      <c r="E202" s="4"/>
      <c r="F202" s="4"/>
      <c r="G202" s="4"/>
      <c r="H202" s="10"/>
      <c r="I202" s="4"/>
      <c r="J202" s="4"/>
      <c r="K202" s="4"/>
      <c r="L202" s="4"/>
      <c r="M202" s="70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 spans="1:26">
      <c r="A203" s="4"/>
      <c r="B203" s="4"/>
      <c r="C203" s="4"/>
      <c r="D203" s="4"/>
      <c r="E203" s="4"/>
      <c r="F203" s="4"/>
      <c r="G203" s="4"/>
      <c r="H203" s="10"/>
      <c r="I203" s="4"/>
      <c r="J203" s="4"/>
      <c r="K203" s="4"/>
      <c r="L203" s="4"/>
      <c r="M203" s="70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 spans="1:26">
      <c r="A204" s="4"/>
      <c r="B204" s="4"/>
      <c r="C204" s="4"/>
      <c r="D204" s="4"/>
      <c r="E204" s="4"/>
      <c r="F204" s="4"/>
      <c r="G204" s="4"/>
      <c r="H204" s="10"/>
      <c r="I204" s="4"/>
      <c r="J204" s="4"/>
      <c r="K204" s="4"/>
      <c r="L204" s="4"/>
      <c r="M204" s="70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 spans="1:26">
      <c r="A205" s="4"/>
      <c r="B205" s="4"/>
      <c r="C205" s="4"/>
      <c r="D205" s="4"/>
      <c r="E205" s="4"/>
      <c r="F205" s="4"/>
      <c r="G205" s="4"/>
      <c r="H205" s="10"/>
      <c r="I205" s="4"/>
      <c r="J205" s="4"/>
      <c r="K205" s="4"/>
      <c r="L205" s="4"/>
      <c r="M205" s="70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 spans="1:26">
      <c r="A206" s="4"/>
      <c r="B206" s="4"/>
      <c r="C206" s="4"/>
      <c r="D206" s="4"/>
      <c r="E206" s="4"/>
      <c r="F206" s="4"/>
      <c r="G206" s="4"/>
      <c r="H206" s="10"/>
      <c r="I206" s="4"/>
      <c r="J206" s="4"/>
      <c r="K206" s="4"/>
      <c r="L206" s="4"/>
      <c r="M206" s="70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 spans="1:26">
      <c r="A207" s="4"/>
      <c r="B207" s="4"/>
      <c r="C207" s="4"/>
      <c r="D207" s="4"/>
      <c r="E207" s="4"/>
      <c r="F207" s="4"/>
      <c r="G207" s="4"/>
      <c r="H207" s="10"/>
      <c r="I207" s="4"/>
      <c r="J207" s="4"/>
      <c r="K207" s="4"/>
      <c r="L207" s="4"/>
      <c r="M207" s="70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 spans="1:26">
      <c r="A208" s="4"/>
      <c r="B208" s="4"/>
      <c r="C208" s="4"/>
      <c r="D208" s="4"/>
      <c r="E208" s="4"/>
      <c r="F208" s="4"/>
      <c r="G208" s="4"/>
      <c r="H208" s="10"/>
      <c r="I208" s="4"/>
      <c r="J208" s="4"/>
      <c r="K208" s="4"/>
      <c r="L208" s="4"/>
      <c r="M208" s="70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 spans="1:26">
      <c r="A209" s="4"/>
      <c r="B209" s="4"/>
      <c r="C209" s="4"/>
      <c r="D209" s="4"/>
      <c r="E209" s="4"/>
      <c r="F209" s="4"/>
      <c r="G209" s="4"/>
      <c r="H209" s="10"/>
      <c r="I209" s="4"/>
      <c r="J209" s="4"/>
      <c r="K209" s="4"/>
      <c r="L209" s="4"/>
      <c r="M209" s="70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 spans="1:26">
      <c r="A210" s="4"/>
      <c r="B210" s="4"/>
      <c r="C210" s="4"/>
      <c r="D210" s="4"/>
      <c r="E210" s="4"/>
      <c r="F210" s="4"/>
      <c r="G210" s="4"/>
      <c r="H210" s="10"/>
      <c r="I210" s="4"/>
      <c r="J210" s="4"/>
      <c r="K210" s="4"/>
      <c r="L210" s="4"/>
      <c r="M210" s="70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 spans="1:26">
      <c r="A211" s="4"/>
      <c r="B211" s="4"/>
      <c r="C211" s="4"/>
      <c r="D211" s="4"/>
      <c r="E211" s="4"/>
      <c r="F211" s="4"/>
      <c r="G211" s="4"/>
      <c r="H211" s="10"/>
      <c r="I211" s="4"/>
      <c r="J211" s="4"/>
      <c r="K211" s="4"/>
      <c r="L211" s="4"/>
      <c r="M211" s="70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 spans="1:26">
      <c r="A212" s="4"/>
      <c r="B212" s="4"/>
      <c r="C212" s="4"/>
      <c r="D212" s="4"/>
      <c r="E212" s="4"/>
      <c r="F212" s="4"/>
      <c r="G212" s="4"/>
      <c r="H212" s="10"/>
      <c r="I212" s="4"/>
      <c r="J212" s="4"/>
      <c r="K212" s="4"/>
      <c r="L212" s="4"/>
      <c r="M212" s="70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 spans="1:26">
      <c r="A213" s="4"/>
      <c r="B213" s="4"/>
      <c r="C213" s="4"/>
      <c r="D213" s="4"/>
      <c r="E213" s="4"/>
      <c r="F213" s="4"/>
      <c r="G213" s="4"/>
      <c r="H213" s="10"/>
      <c r="I213" s="4"/>
      <c r="J213" s="4"/>
      <c r="K213" s="4"/>
      <c r="L213" s="4"/>
      <c r="M213" s="70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 spans="1:26">
      <c r="A214" s="4"/>
      <c r="B214" s="4"/>
      <c r="C214" s="4"/>
      <c r="D214" s="4"/>
      <c r="E214" s="4"/>
      <c r="F214" s="4"/>
      <c r="G214" s="4"/>
      <c r="H214" s="10"/>
      <c r="I214" s="4"/>
      <c r="J214" s="4"/>
      <c r="K214" s="4"/>
      <c r="L214" s="4"/>
      <c r="M214" s="70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 spans="1:26">
      <c r="A215" s="4"/>
      <c r="B215" s="4"/>
      <c r="C215" s="4"/>
      <c r="D215" s="4"/>
      <c r="E215" s="4"/>
      <c r="F215" s="4"/>
      <c r="G215" s="4"/>
      <c r="H215" s="10"/>
      <c r="I215" s="4"/>
      <c r="J215" s="4"/>
      <c r="K215" s="4"/>
      <c r="L215" s="4"/>
      <c r="M215" s="70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 spans="1:26">
      <c r="A216" s="4"/>
      <c r="B216" s="4"/>
      <c r="C216" s="4"/>
      <c r="D216" s="4"/>
      <c r="E216" s="4"/>
      <c r="F216" s="4"/>
      <c r="G216" s="4"/>
      <c r="H216" s="10"/>
      <c r="I216" s="4"/>
      <c r="J216" s="4"/>
      <c r="K216" s="4"/>
      <c r="L216" s="4"/>
      <c r="M216" s="70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 spans="1:26">
      <c r="A217" s="4"/>
      <c r="B217" s="4"/>
      <c r="C217" s="4"/>
      <c r="D217" s="4"/>
      <c r="E217" s="4"/>
      <c r="F217" s="4"/>
      <c r="G217" s="4"/>
      <c r="H217" s="10"/>
      <c r="I217" s="4"/>
      <c r="J217" s="4"/>
      <c r="K217" s="4"/>
      <c r="L217" s="4"/>
      <c r="M217" s="70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 spans="1:26">
      <c r="A218" s="4"/>
      <c r="B218" s="4"/>
      <c r="C218" s="4"/>
      <c r="D218" s="4"/>
      <c r="E218" s="4"/>
      <c r="F218" s="4"/>
      <c r="G218" s="4"/>
      <c r="H218" s="10"/>
      <c r="I218" s="4"/>
      <c r="J218" s="4"/>
      <c r="K218" s="4"/>
      <c r="L218" s="4"/>
      <c r="M218" s="70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 spans="1:26">
      <c r="A219" s="4"/>
      <c r="B219" s="4"/>
      <c r="C219" s="4"/>
      <c r="D219" s="4"/>
      <c r="E219" s="4"/>
      <c r="F219" s="4"/>
      <c r="G219" s="4"/>
      <c r="H219" s="10"/>
      <c r="I219" s="4"/>
      <c r="J219" s="4"/>
      <c r="K219" s="4"/>
      <c r="L219" s="4"/>
      <c r="M219" s="70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 spans="1:26">
      <c r="A220" s="4"/>
      <c r="B220" s="4"/>
      <c r="C220" s="4"/>
      <c r="D220" s="4"/>
      <c r="E220" s="4"/>
      <c r="F220" s="4"/>
      <c r="G220" s="4"/>
      <c r="H220" s="10"/>
      <c r="I220" s="4"/>
      <c r="J220" s="4"/>
      <c r="K220" s="4"/>
      <c r="L220" s="4"/>
      <c r="M220" s="70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 spans="1:26">
      <c r="A221" s="4"/>
      <c r="B221" s="4"/>
      <c r="C221" s="4"/>
      <c r="D221" s="4"/>
      <c r="E221" s="4"/>
      <c r="F221" s="4"/>
      <c r="G221" s="4"/>
      <c r="H221" s="10"/>
      <c r="I221" s="4"/>
      <c r="J221" s="4"/>
      <c r="K221" s="4"/>
      <c r="L221" s="4"/>
      <c r="M221" s="70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 spans="1:26">
      <c r="A222" s="4"/>
      <c r="B222" s="4"/>
      <c r="C222" s="4"/>
      <c r="D222" s="4"/>
      <c r="E222" s="4"/>
      <c r="F222" s="4"/>
      <c r="G222" s="4"/>
      <c r="H222" s="10"/>
      <c r="I222" s="4"/>
      <c r="J222" s="4"/>
      <c r="K222" s="4"/>
      <c r="L222" s="4"/>
      <c r="M222" s="70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 spans="1:26">
      <c r="A223" s="4"/>
      <c r="B223" s="4"/>
      <c r="C223" s="4"/>
      <c r="D223" s="4"/>
      <c r="E223" s="4"/>
      <c r="F223" s="4"/>
      <c r="G223" s="4"/>
      <c r="H223" s="10"/>
      <c r="I223" s="4"/>
      <c r="J223" s="4"/>
      <c r="K223" s="4"/>
      <c r="L223" s="4"/>
      <c r="M223" s="70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 spans="1:26">
      <c r="A224" s="4"/>
      <c r="B224" s="4"/>
      <c r="C224" s="4"/>
      <c r="D224" s="4"/>
      <c r="E224" s="4"/>
      <c r="F224" s="4"/>
      <c r="G224" s="4"/>
      <c r="H224" s="10"/>
      <c r="I224" s="4"/>
      <c r="J224" s="4"/>
      <c r="K224" s="4"/>
      <c r="L224" s="4"/>
      <c r="M224" s="70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 spans="1:26">
      <c r="A225" s="4"/>
      <c r="B225" s="4"/>
      <c r="C225" s="4"/>
      <c r="D225" s="4"/>
      <c r="E225" s="4"/>
      <c r="F225" s="4"/>
      <c r="G225" s="4"/>
      <c r="H225" s="10"/>
      <c r="I225" s="4"/>
      <c r="J225" s="4"/>
      <c r="K225" s="4"/>
      <c r="L225" s="4"/>
      <c r="M225" s="70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 spans="1:26">
      <c r="A226" s="4"/>
      <c r="B226" s="4"/>
      <c r="C226" s="4"/>
      <c r="D226" s="4"/>
      <c r="E226" s="4"/>
      <c r="F226" s="4"/>
      <c r="G226" s="4"/>
      <c r="H226" s="10"/>
      <c r="I226" s="4"/>
      <c r="J226" s="4"/>
      <c r="K226" s="4"/>
      <c r="L226" s="4"/>
      <c r="M226" s="70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 spans="1:26">
      <c r="A227" s="4"/>
      <c r="B227" s="4"/>
      <c r="C227" s="4"/>
      <c r="D227" s="4"/>
      <c r="E227" s="4"/>
      <c r="F227" s="4"/>
      <c r="G227" s="4"/>
      <c r="H227" s="10"/>
      <c r="I227" s="4"/>
      <c r="J227" s="4"/>
      <c r="K227" s="4"/>
      <c r="L227" s="4"/>
      <c r="M227" s="70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 spans="1:26">
      <c r="A228" s="4"/>
      <c r="B228" s="4"/>
      <c r="C228" s="4"/>
      <c r="D228" s="4"/>
      <c r="E228" s="4"/>
      <c r="F228" s="4"/>
      <c r="G228" s="4"/>
      <c r="H228" s="10"/>
      <c r="I228" s="4"/>
      <c r="J228" s="4"/>
      <c r="K228" s="4"/>
      <c r="L228" s="4"/>
      <c r="M228" s="70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 spans="1:26">
      <c r="A229" s="4"/>
      <c r="B229" s="4"/>
      <c r="C229" s="4"/>
      <c r="D229" s="4"/>
      <c r="E229" s="4"/>
      <c r="F229" s="4"/>
      <c r="G229" s="4"/>
      <c r="H229" s="10"/>
      <c r="I229" s="4"/>
      <c r="J229" s="4"/>
      <c r="K229" s="4"/>
      <c r="L229" s="4"/>
      <c r="M229" s="70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 spans="1:26">
      <c r="A230" s="4"/>
      <c r="B230" s="4"/>
      <c r="C230" s="4"/>
      <c r="D230" s="4"/>
      <c r="E230" s="4"/>
      <c r="F230" s="4"/>
      <c r="G230" s="4"/>
      <c r="H230" s="10"/>
      <c r="I230" s="4"/>
      <c r="J230" s="4"/>
      <c r="K230" s="4"/>
      <c r="L230" s="4"/>
      <c r="M230" s="70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 spans="1:26">
      <c r="A231" s="4"/>
      <c r="B231" s="4"/>
      <c r="C231" s="4"/>
      <c r="D231" s="4"/>
      <c r="E231" s="4"/>
      <c r="F231" s="4"/>
      <c r="G231" s="4"/>
      <c r="H231" s="10"/>
      <c r="I231" s="4"/>
      <c r="J231" s="4"/>
      <c r="K231" s="4"/>
      <c r="L231" s="4"/>
      <c r="M231" s="70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 spans="1:26">
      <c r="A232" s="4"/>
      <c r="B232" s="4"/>
      <c r="C232" s="4"/>
      <c r="D232" s="4"/>
      <c r="E232" s="4"/>
      <c r="F232" s="4"/>
      <c r="G232" s="4"/>
      <c r="H232" s="10"/>
      <c r="I232" s="4"/>
      <c r="J232" s="4"/>
      <c r="K232" s="4"/>
      <c r="L232" s="4"/>
      <c r="M232" s="70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 spans="1:26">
      <c r="A233" s="4"/>
      <c r="B233" s="4"/>
      <c r="C233" s="4"/>
      <c r="D233" s="4"/>
      <c r="E233" s="4"/>
      <c r="F233" s="4"/>
      <c r="G233" s="4"/>
      <c r="H233" s="10"/>
      <c r="I233" s="4"/>
      <c r="J233" s="4"/>
      <c r="K233" s="4"/>
      <c r="L233" s="4"/>
      <c r="M233" s="70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 spans="1:26">
      <c r="A234" s="4"/>
      <c r="B234" s="4"/>
      <c r="C234" s="4"/>
      <c r="D234" s="4"/>
      <c r="E234" s="4"/>
      <c r="F234" s="4"/>
      <c r="G234" s="4"/>
      <c r="H234" s="10"/>
      <c r="I234" s="4"/>
      <c r="J234" s="4"/>
      <c r="K234" s="4"/>
      <c r="L234" s="4"/>
      <c r="M234" s="70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 spans="1:26">
      <c r="A235" s="4"/>
      <c r="B235" s="4"/>
      <c r="C235" s="4"/>
      <c r="D235" s="4"/>
      <c r="E235" s="4"/>
      <c r="F235" s="4"/>
      <c r="G235" s="4"/>
      <c r="H235" s="10"/>
      <c r="I235" s="4"/>
      <c r="J235" s="4"/>
      <c r="K235" s="4"/>
      <c r="L235" s="4"/>
      <c r="M235" s="70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 spans="1:26">
      <c r="A236" s="4"/>
      <c r="B236" s="4"/>
      <c r="C236" s="4"/>
      <c r="D236" s="4"/>
      <c r="E236" s="4"/>
      <c r="F236" s="4"/>
      <c r="G236" s="4"/>
      <c r="H236" s="10"/>
      <c r="I236" s="4"/>
      <c r="J236" s="4"/>
      <c r="K236" s="4"/>
      <c r="L236" s="4"/>
      <c r="M236" s="70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 spans="1:26">
      <c r="A237" s="4"/>
      <c r="B237" s="4"/>
      <c r="C237" s="4"/>
      <c r="D237" s="4"/>
      <c r="E237" s="4"/>
      <c r="F237" s="4"/>
      <c r="G237" s="4"/>
      <c r="H237" s="10"/>
      <c r="I237" s="4"/>
      <c r="J237" s="4"/>
      <c r="K237" s="4"/>
      <c r="L237" s="4"/>
      <c r="M237" s="70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 spans="1:26">
      <c r="A238" s="4"/>
      <c r="B238" s="4"/>
      <c r="C238" s="4"/>
      <c r="D238" s="4"/>
      <c r="E238" s="4"/>
      <c r="F238" s="4"/>
      <c r="G238" s="4"/>
      <c r="H238" s="10"/>
      <c r="I238" s="4"/>
      <c r="J238" s="4"/>
      <c r="K238" s="4"/>
      <c r="L238" s="4"/>
      <c r="M238" s="70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 spans="1:26">
      <c r="A239" s="4"/>
      <c r="B239" s="4"/>
      <c r="C239" s="4"/>
      <c r="D239" s="4"/>
      <c r="E239" s="4"/>
      <c r="F239" s="4"/>
      <c r="G239" s="4"/>
      <c r="H239" s="10"/>
      <c r="I239" s="4"/>
      <c r="J239" s="4"/>
      <c r="K239" s="4"/>
      <c r="L239" s="4"/>
      <c r="M239" s="70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 spans="1:26">
      <c r="A240" s="4"/>
      <c r="B240" s="4"/>
      <c r="C240" s="4"/>
      <c r="D240" s="4"/>
      <c r="E240" s="4"/>
      <c r="F240" s="4"/>
      <c r="G240" s="4"/>
      <c r="H240" s="10"/>
      <c r="I240" s="4"/>
      <c r="J240" s="4"/>
      <c r="K240" s="4"/>
      <c r="L240" s="4"/>
      <c r="M240" s="70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 spans="1:26">
      <c r="A241" s="4"/>
      <c r="B241" s="4"/>
      <c r="C241" s="4"/>
      <c r="D241" s="4"/>
      <c r="E241" s="4"/>
      <c r="F241" s="4"/>
      <c r="G241" s="4"/>
      <c r="H241" s="10"/>
      <c r="I241" s="4"/>
      <c r="J241" s="4"/>
      <c r="K241" s="4"/>
      <c r="L241" s="4"/>
      <c r="M241" s="70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 spans="1:26">
      <c r="A242" s="4"/>
      <c r="B242" s="4"/>
      <c r="C242" s="4"/>
      <c r="D242" s="4"/>
      <c r="E242" s="4"/>
      <c r="F242" s="4"/>
      <c r="G242" s="4"/>
      <c r="H242" s="10"/>
      <c r="I242" s="4"/>
      <c r="J242" s="4"/>
      <c r="K242" s="4"/>
      <c r="L242" s="4"/>
      <c r="M242" s="70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 spans="1:26">
      <c r="A243" s="4"/>
      <c r="B243" s="4"/>
      <c r="C243" s="4"/>
      <c r="D243" s="4"/>
      <c r="E243" s="4"/>
      <c r="F243" s="4"/>
      <c r="G243" s="4"/>
      <c r="H243" s="10"/>
      <c r="I243" s="4"/>
      <c r="J243" s="4"/>
      <c r="K243" s="4"/>
      <c r="L243" s="4"/>
      <c r="M243" s="70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 spans="1:26">
      <c r="A244" s="4"/>
      <c r="B244" s="4"/>
      <c r="C244" s="4"/>
      <c r="D244" s="4"/>
      <c r="E244" s="4"/>
      <c r="F244" s="4"/>
      <c r="G244" s="4"/>
      <c r="H244" s="10"/>
      <c r="I244" s="4"/>
      <c r="J244" s="4"/>
      <c r="K244" s="4"/>
      <c r="L244" s="4"/>
      <c r="M244" s="70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 spans="1:26">
      <c r="A245" s="4"/>
      <c r="B245" s="4"/>
      <c r="C245" s="4"/>
      <c r="D245" s="4"/>
      <c r="E245" s="4"/>
      <c r="F245" s="4"/>
      <c r="G245" s="4"/>
      <c r="H245" s="10"/>
      <c r="I245" s="4"/>
      <c r="J245" s="4"/>
      <c r="K245" s="4"/>
      <c r="L245" s="4"/>
      <c r="M245" s="70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 spans="1:26">
      <c r="A246" s="4"/>
      <c r="B246" s="4"/>
      <c r="C246" s="4"/>
      <c r="D246" s="4"/>
      <c r="E246" s="4"/>
      <c r="F246" s="4"/>
      <c r="G246" s="4"/>
      <c r="H246" s="10"/>
      <c r="I246" s="4"/>
      <c r="J246" s="4"/>
      <c r="K246" s="4"/>
      <c r="L246" s="4"/>
      <c r="M246" s="70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 spans="1:26">
      <c r="A247" s="4"/>
      <c r="B247" s="4"/>
      <c r="C247" s="4"/>
      <c r="D247" s="4"/>
      <c r="E247" s="4"/>
      <c r="F247" s="4"/>
      <c r="G247" s="4"/>
      <c r="H247" s="10"/>
      <c r="I247" s="4"/>
      <c r="J247" s="4"/>
      <c r="K247" s="4"/>
      <c r="L247" s="4"/>
      <c r="M247" s="70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 spans="1:26">
      <c r="A248" s="4"/>
      <c r="B248" s="4"/>
      <c r="C248" s="4"/>
      <c r="D248" s="4"/>
      <c r="E248" s="4"/>
      <c r="F248" s="4"/>
      <c r="G248" s="4"/>
      <c r="H248" s="10"/>
      <c r="I248" s="4"/>
      <c r="J248" s="4"/>
      <c r="K248" s="4"/>
      <c r="L248" s="4"/>
      <c r="M248" s="70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 spans="1:26">
      <c r="A249" s="4"/>
      <c r="B249" s="4"/>
      <c r="C249" s="4"/>
      <c r="D249" s="4"/>
      <c r="E249" s="4"/>
      <c r="F249" s="4"/>
      <c r="G249" s="4"/>
      <c r="H249" s="10"/>
      <c r="I249" s="4"/>
      <c r="J249" s="4"/>
      <c r="K249" s="4"/>
      <c r="L249" s="4"/>
      <c r="M249" s="70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 spans="1:2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70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 spans="1:2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70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 spans="1:2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70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 spans="1:2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70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 spans="1:2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70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 spans="1:2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70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 spans="1:2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70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 spans="1:2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70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 spans="1:2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70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 spans="1:2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70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 spans="1:2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70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 spans="1:2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70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 spans="1:2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70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 spans="1:2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70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 spans="1:2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70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 spans="1:2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70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 spans="1:2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70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 spans="1:2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70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 spans="1:2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70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 spans="1:2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70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 spans="1:2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70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 spans="1:2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70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 spans="1:2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70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 spans="1:2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70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 spans="1:2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70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 spans="1:2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70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 spans="1:2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70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 spans="1:2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70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 spans="1:2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70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70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70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70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70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70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70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70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70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70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70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70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70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70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70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70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70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70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70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70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70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70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70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70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70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70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70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70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70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70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70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70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70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70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70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70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70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70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70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70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70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70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70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70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70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70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70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70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70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70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70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70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70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70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70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70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70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70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70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70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70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70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70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70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70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70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70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70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70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70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70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70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70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70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70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70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70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70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70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70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70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70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70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70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70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70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70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70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70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70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70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70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70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70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70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70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70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70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70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70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70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70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70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70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70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70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70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70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70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70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70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70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70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70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70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70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70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70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70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70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70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70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70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70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70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70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70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70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70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70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70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70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70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70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70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70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70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70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70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70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70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70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70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70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70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70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70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70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70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70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70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70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70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70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70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70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70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70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70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70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70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70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70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70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70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70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70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70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70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70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70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70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70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70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70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70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70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70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70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70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70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70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70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70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70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70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70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70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70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70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70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70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70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70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70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70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70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70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70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70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70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70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70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70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70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70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70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70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70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70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70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70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70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70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70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70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70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70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70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70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70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70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70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70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70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70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70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70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70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70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70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70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70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70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70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70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70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70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70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70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70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70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70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70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70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70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70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70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70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70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70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70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70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70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70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70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70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70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70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70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70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70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70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70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70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70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70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70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70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70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70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70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70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70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70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70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70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70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70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70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70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70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70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70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70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70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70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70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70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70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70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70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70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70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70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70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70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70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70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70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70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70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70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70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70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70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70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70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70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70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70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70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70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70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70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70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70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70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70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70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70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70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70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70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70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70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70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70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70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70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70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70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70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70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70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70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70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70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70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70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70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70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70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70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70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70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70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70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70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70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70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70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70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70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70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70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70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70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70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70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70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70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70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70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70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70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70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70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70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70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70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70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70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70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70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70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70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70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70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70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70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70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70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70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70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70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70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70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70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70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70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70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70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70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70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70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70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70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70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70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70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70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70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70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70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70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70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70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70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70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70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70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70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70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70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70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70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70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70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70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70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70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70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70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70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70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70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70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70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70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70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70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70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70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70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70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70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70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70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70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70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70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70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70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70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70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70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70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70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70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70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70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70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70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70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70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70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70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70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70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70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70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70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70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70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70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70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70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70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70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70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70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70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70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70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70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70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70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70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70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70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70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70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70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70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70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70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70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70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70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70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70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70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70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70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70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70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70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70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70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70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70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70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70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70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70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70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70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70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70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70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70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70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70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70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70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70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70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70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70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70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70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70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70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70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70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70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70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70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70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70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70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70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70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70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70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70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70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70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70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70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70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70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70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70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70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70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70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70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70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70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70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70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70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70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70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70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70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70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70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70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70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70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70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70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70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70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70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70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70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70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70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70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70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70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70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70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70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70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70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70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70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70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70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70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70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70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70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70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70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70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70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70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70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70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70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70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70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70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70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70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70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70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70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70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70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70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70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70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70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70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70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70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70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70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70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70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70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70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70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70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70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70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70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70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70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70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70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70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70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70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70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70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70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70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70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70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70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70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70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70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70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70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70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70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70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70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70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70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70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70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70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70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70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70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70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70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70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70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70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70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70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70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70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70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70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70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70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70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70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70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70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70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70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70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70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70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70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70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70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70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70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70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70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70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70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70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70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70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70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70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70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70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70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70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70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70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70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70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70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70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70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70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70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70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70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70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70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70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70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70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70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70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70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70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70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70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70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70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70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70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70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autoFilter xmlns:etc="http://www.wps.cn/officeDocument/2017/etCustomData" ref="E2:T952" etc:filterBottomFollowUsedRange="0">
    <extLst/>
  </autoFilter>
  <mergeCells count="1">
    <mergeCell ref="A1:M1"/>
  </mergeCells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GNNETS OFFICE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GNNETSADMIN-PC</dc:creator>
  <cp:lastModifiedBy>sigmu</cp:lastModifiedBy>
  <dcterms:created xsi:type="dcterms:W3CDTF">2026-04-20T08:10:00Z</dcterms:created>
  <dcterms:modified xsi:type="dcterms:W3CDTF">2026-04-20T08:51:12Z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227AA7ED54D347198ED207038EDB1451_12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